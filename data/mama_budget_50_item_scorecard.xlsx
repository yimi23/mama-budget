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col" sheetId="1" state="visible" r:id="rId1"/>
    <sheet xmlns:r="http://schemas.openxmlformats.org/officeDocument/2006/relationships" name="50 Cases" sheetId="2" state="visible" r:id="rId2"/>
  </sheets>
  <definedNames>
    <definedName name="_xlnm._FilterDatabase" localSheetId="1" hidden="1">'50 Cases'!$A$18:$N$68</definedName>
    <definedName name="_xlnm.Print_Titles" localSheetId="1">'50 Cases'!$18:$18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ptos Display"/>
      <b val="1"/>
      <color rgb="0017384B"/>
      <sz val="18"/>
    </font>
    <font>
      <name val="Aptos"/>
      <i val="1"/>
      <color rgb="005B6B74"/>
      <sz val="10"/>
    </font>
    <font>
      <b val="1"/>
      <color rgb="0017384B"/>
      <sz val="10"/>
    </font>
    <font>
      <color rgb="00283640"/>
      <sz val="9"/>
    </font>
    <font>
      <name val="Aptos Display"/>
      <b val="1"/>
      <color rgb="00FFFFFF"/>
      <sz val="18"/>
    </font>
    <font>
      <i val="1"/>
      <color rgb="005B6B74"/>
      <sz val="10"/>
    </font>
    <font>
      <b val="1"/>
      <color rgb="00FFFFFF"/>
    </font>
    <font>
      <b val="1"/>
      <color rgb="0017384B"/>
    </font>
    <font>
      <b val="1"/>
      <color rgb="00176B87"/>
      <sz val="11"/>
    </font>
    <font>
      <color rgb="005B6B74"/>
      <sz val="9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7384B"/>
      </patternFill>
    </fill>
    <fill>
      <patternFill patternType="solid">
        <fgColor rgb="00176B87"/>
      </patternFill>
    </fill>
    <fill>
      <patternFill patternType="solid">
        <fgColor rgb="00EFF7FA"/>
      </patternFill>
    </fill>
    <fill>
      <patternFill patternType="solid">
        <fgColor rgb="00F3F7F8"/>
      </patternFill>
    </fill>
  </fills>
  <borders count="4">
    <border>
      <left/>
      <right/>
      <top/>
      <bottom/>
      <diagonal/>
    </border>
    <border>
      <bottom style="thin">
        <color rgb="00C6D4DA"/>
      </bottom>
    </border>
    <border>
      <bottom style="hair">
        <color rgb="00DCE4E8"/>
      </bottom>
    </border>
    <border>
      <left/>
      <right/>
      <top/>
      <bottom style="thin">
        <color rgb="00C6D4DA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2" borderId="0" applyAlignment="1" pivotButton="0" quotePrefix="0" xfId="0">
      <alignment vertical="center"/>
    </xf>
    <xf numFmtId="0" fontId="6" fillId="0" borderId="0" pivotButton="0" quotePrefix="0" xfId="0"/>
    <xf numFmtId="0" fontId="7" fillId="3" borderId="0" applyAlignment="1" pivotButton="0" quotePrefix="0" xfId="0">
      <alignment vertical="center"/>
    </xf>
    <xf numFmtId="0" fontId="8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wrapText="1"/>
    </xf>
    <xf numFmtId="164" fontId="9" fillId="0" borderId="1" pivotButton="0" quotePrefix="0" xfId="0"/>
    <xf numFmtId="0" fontId="11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/>
    </xf>
    <xf numFmtId="0" fontId="0" fillId="4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/>
    </xf>
    <xf numFmtId="0" fontId="0" fillId="5" borderId="2" applyAlignment="1" pivotButton="0" quotePrefix="0" xfId="0">
      <alignment vertical="top"/>
    </xf>
    <xf numFmtId="0" fontId="0" fillId="0" borderId="3" pivotButton="0" quotePrefix="0" xfId="0"/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MAMA BUDGET | 50-CASE SCORING PROTOCOL</t>
        </is>
      </c>
    </row>
    <row r="2">
      <c r="A2" s="2" t="inlineStr">
        <is>
          <t>Editable scorecard • 50 anonymized item cases • formulas update when opened in Excel or Numbers</t>
        </is>
      </c>
    </row>
    <row r="4" ht="36" customHeight="1">
      <c r="A4" s="3" t="inlineStr">
        <is>
          <t>Purpose</t>
        </is>
      </c>
      <c r="B4" s="4" t="inlineStr">
        <is>
          <t>Measure agreement with participating mothers on clear item-level cases, and separately test the rule that a consensus need is never scolded. This is a small pilot, not universal ground truth.</t>
        </is>
      </c>
      <c r="C4" s="18" t="n"/>
      <c r="D4" s="18" t="n"/>
      <c r="E4" s="18" t="n"/>
      <c r="F4" s="18" t="n"/>
    </row>
    <row r="5" ht="44" customHeight="1">
      <c r="A5" s="3" t="inlineStr">
        <is>
          <t>1 — Freeze cases</t>
        </is>
      </c>
      <c r="B5" s="4" t="inlineStr">
        <is>
          <t>Enter 50 anonymized items, prices, and relevant context. Include needs, wants, context-dependent items, same-store mixed carts, and a family transfer. Do not adjust rules after seeing the labels; if adjusted, evaluate on a fresh set.</t>
        </is>
      </c>
      <c r="C5" s="18" t="n"/>
      <c r="D5" s="18" t="n"/>
      <c r="E5" s="18" t="n"/>
      <c r="F5" s="18" t="n"/>
    </row>
    <row r="6" ht="44" customHeight="1">
      <c r="A6" s="3" t="inlineStr">
        <is>
          <t>2 — Label independently</t>
        </is>
      </c>
      <c r="B6" s="4" t="inlineStr">
        <is>
          <t>Each available mother labels Need, Want, or Context / unsure without seeing Mama’s output. Three raters are ideal. Two matching labels form a majority; with two raters who disagree, or three with no majority, the reference is No majority. The sheet counts all non-unanimous cases.</t>
        </is>
      </c>
      <c r="C6" s="18" t="n"/>
      <c r="D6" s="18" t="n"/>
      <c r="E6" s="18" t="n"/>
      <c r="F6" s="18" t="n"/>
    </row>
    <row r="7" ht="36" customHeight="1">
      <c r="A7" s="3" t="inlineStr">
        <is>
          <t>3 — Run Mama unchanged</t>
        </is>
      </c>
      <c r="B7" s="4" t="inlineStr">
        <is>
          <t>Record Mama’s deterministic output and whether she actually reacted. On Context / unsure or No-majority cases, Ask or stay quiet; never scold. The model writes lines only, not the classification.</t>
        </is>
      </c>
      <c r="C7" s="18" t="n"/>
      <c r="D7" s="18" t="n"/>
      <c r="E7" s="18" t="n"/>
      <c r="F7" s="18" t="n"/>
    </row>
    <row r="8" ht="44" customHeight="1">
      <c r="A8" s="3" t="inlineStr">
        <is>
          <t>4 — Fair baseline</t>
        </is>
      </c>
      <c r="B8" s="4" t="inlineStr">
        <is>
          <t>Before scoring, freeze a merchant-category-to-label mapping. Enter its output under “Merchant-only baseline.” This is a category-only heuristic, not the bank’s own judgment. Compare it and Mama on the same Need/Want majority cases.</t>
        </is>
      </c>
      <c r="C8" s="18" t="n"/>
      <c r="D8" s="18" t="n"/>
      <c r="E8" s="18" t="n"/>
      <c r="F8" s="18" t="n"/>
    </row>
    <row r="9" ht="44" customHeight="1">
      <c r="A9" s="3" t="inlineStr">
        <is>
          <t>Read the dashboard</t>
        </is>
      </c>
      <c r="B9" s="4" t="inlineStr">
        <is>
          <t>Mama and baseline match rates share one denominator: majority Need/Want cases only. Need safety is scolds divided by consensus-Need cases; target zero. Context/no-majority cases are excluded from accuracy and counted in the Ask/quiet metric. Rater split counts any non-unanimous labeled case.</t>
        </is>
      </c>
      <c r="C9" s="18" t="n"/>
      <c r="D9" s="18" t="n"/>
      <c r="E9" s="18" t="n"/>
      <c r="F9" s="18" t="n"/>
    </row>
    <row r="10" ht="44" customHeight="1">
      <c r="A10" s="3" t="inlineStr">
        <is>
          <t>Use on stage</t>
        </is>
      </c>
      <c r="B10" s="4" t="inlineStr">
        <is>
          <t>Demonstrate a clear need (quiet), a discretionary want (reaction), and money sent home (quiet). Then show x/N and percentages from the frozen 50-case set. Say “agreement with our participating mothers,” not “objectively correct.”</t>
        </is>
      </c>
      <c r="C10" s="18" t="n"/>
      <c r="D10" s="18" t="n"/>
      <c r="E10" s="18" t="n"/>
      <c r="F10" s="18" t="n"/>
    </row>
    <row r="11" ht="36" customHeight="1">
      <c r="A11" s="3" t="inlineStr">
        <is>
          <t>Privacy</t>
        </is>
      </c>
      <c r="B11" s="4" t="inlineStr">
        <is>
          <t>Use consented, anonymized examples. Do not enter account numbers, card details, or private receipt images. Nessie is simulated banking data for the demo, not live bank access.</t>
        </is>
      </c>
      <c r="C11" s="18" t="n"/>
      <c r="D11" s="18" t="n"/>
      <c r="E11" s="18" t="n"/>
      <c r="F11" s="18" t="n"/>
    </row>
    <row r="12">
      <c r="A12" t="inlineStr">
        <is>
          <t>Frozen merchant-only map</t>
        </is>
      </c>
      <c r="B12" t="inlineStr">
        <is>
          <t>Need: Grocery, Rent, Utilities, Phone, Education, Transportation, Pharmacy, Health, Insurance, Services. Want: everything else, including General Merchandise, Shopping, Electronics, Restaurants, Coffee, Clothing, Entertainment, Subscriptions, Personal Care, Travel, Investments, Donations, Transfer. Frozen Oct 3 2026 before any labels were collected.</t>
        </is>
      </c>
    </row>
  </sheetData>
  <mergeCells count="10">
    <mergeCell ref="B4:F4"/>
    <mergeCell ref="A2:F2"/>
    <mergeCell ref="B7:F7"/>
    <mergeCell ref="B6:F6"/>
    <mergeCell ref="B10:F10"/>
    <mergeCell ref="A1:F1"/>
    <mergeCell ref="B11:F11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68"/>
  <sheetViews>
    <sheetView showGridLines="0" workbookViewId="0">
      <pane xSplit="1" ySplit="18" topLeftCell="B1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7" customWidth="1" min="2" max="2"/>
    <col width="27" customWidth="1" min="3" max="3"/>
    <col width="19" customWidth="1" min="4" max="4"/>
    <col width="20" customWidth="1" min="5" max="5"/>
    <col width="14" customWidth="1" min="6" max="6"/>
    <col width="14" customWidth="1" min="7" max="7"/>
    <col width="14" customWidth="1" min="8" max="8"/>
    <col width="20" customWidth="1" min="9" max="9"/>
    <col width="16" customWidth="1" min="10" max="10"/>
    <col width="15" customWidth="1" min="11" max="11"/>
    <col width="23" customWidth="1" min="12" max="12"/>
    <col width="14" customWidth="1" min="13" max="13"/>
    <col width="28" customWidth="1" min="14" max="14"/>
  </cols>
  <sheetData>
    <row r="1" ht="30" customHeight="1">
      <c r="A1" s="6" t="inlineStr">
        <is>
          <t>MAMA BUDGET | 50-CASE SCORECARD</t>
        </is>
      </c>
    </row>
    <row r="2">
      <c r="A2" s="7" t="inlineStr">
        <is>
          <t>Enter labels in the blue columns. Consensus, disagreement, and dashboard metrics calculate automatically.</t>
        </is>
      </c>
    </row>
    <row r="3">
      <c r="A3" s="8" t="inlineStr">
        <is>
          <t>Metric</t>
        </is>
      </c>
      <c r="B3" s="8" t="inlineStr">
        <is>
          <t>Result</t>
        </is>
      </c>
      <c r="C3" s="8" t="inlineStr">
        <is>
          <t>How to read</t>
        </is>
      </c>
    </row>
    <row r="4" ht="24" customHeight="1">
      <c r="A4" s="9" t="inlineStr">
        <is>
          <t>Clear majority cases (Need/Want)</t>
        </is>
      </c>
      <c r="B4" s="10">
        <f>COUNTIF(I19:I68,"Need")+COUNTIF(I19:I68,"Want")</f>
        <v/>
      </c>
      <c r="C4" s="11" t="inlineStr">
        <is>
          <t>Mama and baseline accuracy denominator</t>
        </is>
      </c>
    </row>
    <row r="5" ht="24" customHeight="1">
      <c r="A5" s="9" t="inlineStr">
        <is>
          <t>Mama exact matches</t>
        </is>
      </c>
      <c r="B5" s="10">
        <f>COUNTIFS(I19:I68,"Need",J19:J68,"Need")+COUNTIFS(I19:I68,"Want",J19:J68,"Want")</f>
        <v/>
      </c>
      <c r="C5" s="11" t="inlineStr">
        <is>
          <t>Need/Want labels must match exactly</t>
        </is>
      </c>
    </row>
    <row r="6" ht="24" customHeight="1">
      <c r="A6" s="9" t="inlineStr">
        <is>
          <t>Mama exact-match rate</t>
        </is>
      </c>
      <c r="B6" s="12">
        <f>IFERROR(B5/B4,"")</f>
        <v/>
      </c>
      <c r="C6" s="11" t="inlineStr">
        <is>
          <t>Show x/N as well as this rate</t>
        </is>
      </c>
    </row>
    <row r="7" ht="24" customHeight="1">
      <c r="A7" s="9" t="inlineStr">
        <is>
          <t>Merchant-only matches</t>
        </is>
      </c>
      <c r="B7" s="10">
        <f>COUNTIFS(I19:I68,"Need",L19:L68,"Need")+COUNTIFS(I19:I68,"Want",L19:L68,"Want")</f>
        <v/>
      </c>
      <c r="C7" s="11" t="inlineStr">
        <is>
          <t>Frozen category-only heuristic</t>
        </is>
      </c>
    </row>
    <row r="8" ht="24" customHeight="1">
      <c r="A8" s="9" t="inlineStr">
        <is>
          <t>Merchant-only match rate</t>
        </is>
      </c>
      <c r="B8" s="12">
        <f>IFERROR(B7/B4,"")</f>
        <v/>
      </c>
      <c r="C8" s="11" t="inlineStr">
        <is>
          <t>Same denominator as Mama</t>
        </is>
      </c>
    </row>
    <row r="9" ht="24" customHeight="1">
      <c r="A9" s="9" t="inlineStr">
        <is>
          <t>Consensus Need cases</t>
        </is>
      </c>
      <c r="B9" s="10">
        <f>COUNTIF(I19:I68,"Need")</f>
        <v/>
      </c>
      <c r="C9" s="11" t="inlineStr">
        <is>
          <t>Safety metric denominator</t>
        </is>
      </c>
    </row>
    <row r="10" ht="24" customHeight="1">
      <c r="A10" s="9" t="inlineStr">
        <is>
          <t>Need-triggered reactions</t>
        </is>
      </c>
      <c r="B10" s="10">
        <f>COUNTIFS(I19:I68,"Need",K19:K68,"Yes")</f>
        <v/>
      </c>
      <c r="C10" s="11" t="inlineStr">
        <is>
          <t>Target: zero</t>
        </is>
      </c>
    </row>
    <row r="11" ht="24" customHeight="1">
      <c r="A11" s="9" t="inlineStr">
        <is>
          <t>Need-safety breach rate</t>
        </is>
      </c>
      <c r="B11" s="12">
        <f>IFERROR(B10/B9,"")</f>
        <v/>
      </c>
      <c r="C11" s="11" t="inlineStr">
        <is>
          <t>Need-triggered reactions / Need cases</t>
        </is>
      </c>
    </row>
    <row r="12" ht="24" customHeight="1">
      <c r="A12" s="9" t="inlineStr">
        <is>
          <t>Context or no-majority cases</t>
        </is>
      </c>
      <c r="B12" s="10">
        <f>COUNTIF(I19:I68,"Context / unsure")+COUNTIF(I19:I68,"No majority")</f>
        <v/>
      </c>
      <c r="C12" s="11" t="inlineStr">
        <is>
          <t>Excluded from Need/Want accuracy</t>
        </is>
      </c>
    </row>
    <row r="13" ht="24" customHeight="1">
      <c r="A13" s="9" t="inlineStr">
        <is>
          <t>Mama asks on unclear cases</t>
        </is>
      </c>
      <c r="B13" s="10">
        <f>COUNTIFS(I19:I68,"Context / unsure",J19:J68,"Ask")+COUNTIFS(I19:I68,"No majority",J19:J68,"Ask")</f>
        <v/>
      </c>
      <c r="C13" s="11" t="inlineStr">
        <is>
          <t>Ask is the safe deferral</t>
        </is>
      </c>
    </row>
    <row r="14" ht="24" customHeight="1">
      <c r="A14" s="9" t="inlineStr">
        <is>
          <t>Safe Ask rate</t>
        </is>
      </c>
      <c r="B14" s="12">
        <f>IFERROR(B13/B12,"")</f>
        <v/>
      </c>
      <c r="C14" s="11" t="inlineStr">
        <is>
          <t>Asks / Context or no-majority cases</t>
        </is>
      </c>
    </row>
    <row r="15" ht="24" customHeight="1">
      <c r="A15" s="9" t="inlineStr">
        <is>
          <t>Rater split cases</t>
        </is>
      </c>
      <c r="B15" s="10">
        <f>COUNTIF(M19:M68,"Yes")</f>
        <v/>
      </c>
      <c r="C15" s="11" t="inlineStr">
        <is>
          <t>Non-unanimous labels out of 50</t>
        </is>
      </c>
    </row>
    <row r="18" ht="32" customHeight="1">
      <c r="A18" s="13" t="inlineStr">
        <is>
          <t>Case #</t>
        </is>
      </c>
      <c r="B18" s="13" t="inlineStr">
        <is>
          <t>Item / price (anonymized)</t>
        </is>
      </c>
      <c r="C18" s="13" t="inlineStr">
        <is>
          <t>Relevant context</t>
        </is>
      </c>
      <c r="D18" s="13" t="inlineStr">
        <is>
          <t>Merchant</t>
        </is>
      </c>
      <c r="E18" s="13" t="inlineStr">
        <is>
          <t>Bank category</t>
        </is>
      </c>
      <c r="F18" s="13" t="inlineStr">
        <is>
          <t>Rater 1</t>
        </is>
      </c>
      <c r="G18" s="13" t="inlineStr">
        <is>
          <t>Rater 2</t>
        </is>
      </c>
      <c r="H18" s="13" t="inlineStr">
        <is>
          <t>Rater 3</t>
        </is>
      </c>
      <c r="I18" s="13" t="inlineStr">
        <is>
          <t>Mother reference</t>
        </is>
      </c>
      <c r="J18" s="13" t="inlineStr">
        <is>
          <t>Mama label</t>
        </is>
      </c>
      <c r="K18" s="13" t="inlineStr">
        <is>
          <t>Mama reacted?</t>
        </is>
      </c>
      <c r="L18" s="13" t="inlineStr">
        <is>
          <t>Merchant-only baseline</t>
        </is>
      </c>
      <c r="M18" s="13" t="inlineStr">
        <is>
          <t>Rater split?</t>
        </is>
      </c>
      <c r="N18" s="13" t="inlineStr">
        <is>
          <t>Notes</t>
        </is>
      </c>
    </row>
    <row r="19" ht="24" customHeight="1">
      <c r="A19" s="14" t="inlineStr">
        <is>
          <t>01</t>
        </is>
      </c>
      <c r="B19" s="15" t="inlineStr">
        <is>
          <t>20 lb bag of rice, $24</t>
        </is>
      </c>
      <c r="C19" s="15" t="inlineStr">
        <is>
          <t>Monthly staple, pantry empty</t>
        </is>
      </c>
      <c r="D19" s="16" t="inlineStr">
        <is>
          <t>Target</t>
        </is>
      </c>
      <c r="E19" s="16" t="inlineStr">
        <is>
          <t>General Merchandise</t>
        </is>
      </c>
      <c r="F19" s="16" t="n"/>
      <c r="G19" s="16" t="n"/>
      <c r="H19" s="16" t="n"/>
      <c r="I19" s="17">
        <f>IF(COUNTA(F19:H19)&lt;2,"",IF(COUNTIF(F19:H19,"Need")&gt;=2,"Need",IF(COUNTIF(F19:H19,"Want")&gt;=2,"Want",IF(COUNTIF(F19:H19,"Context / unsure")&gt;=2,"Context / unsure","No majority"))))</f>
        <v/>
      </c>
      <c r="J19" s="16" t="n"/>
      <c r="K19" s="16" t="n"/>
      <c r="L19" s="16" t="inlineStr">
        <is>
          <t>Want</t>
        </is>
      </c>
      <c r="M19" s="17">
        <f>IF(COUNTA(F19:H19)&lt;2,"",IF(OR(COUNTIF(F19:H19,"Need")=COUNTA(F19:H19),COUNTIF(F19:H19,"Want")=COUNTA(F19:H19),COUNTIF(F19:H19,"Context / unsure")=COUNTA(F19:H19)),"No","Yes"))</f>
        <v/>
      </c>
      <c r="N19" s="15" t="n"/>
    </row>
    <row r="20" ht="24" customHeight="1">
      <c r="A20" s="14" t="inlineStr">
        <is>
          <t>02</t>
        </is>
      </c>
      <c r="B20" s="15" t="inlineStr">
        <is>
          <t>Dish soap, $4</t>
        </is>
      </c>
      <c r="C20" s="15" t="inlineStr">
        <is>
          <t>Ran out</t>
        </is>
      </c>
      <c r="D20" s="16" t="inlineStr">
        <is>
          <t>Target</t>
        </is>
      </c>
      <c r="E20" s="16" t="inlineStr">
        <is>
          <t>General Merchandise</t>
        </is>
      </c>
      <c r="F20" s="16" t="n"/>
      <c r="G20" s="16" t="n"/>
      <c r="H20" s="16" t="n"/>
      <c r="I20" s="17">
        <f>IF(COUNTA(F20:H20)&lt;2,"",IF(COUNTIF(F20:H20,"Need")&gt;=2,"Need",IF(COUNTIF(F20:H20,"Want")&gt;=2,"Want",IF(COUNTIF(F20:H20,"Context / unsure")&gt;=2,"Context / unsure","No majority"))))</f>
        <v/>
      </c>
      <c r="J20" s="16" t="n"/>
      <c r="K20" s="16" t="n"/>
      <c r="L20" s="16" t="inlineStr">
        <is>
          <t>Want</t>
        </is>
      </c>
      <c r="M20" s="17">
        <f>IF(COUNTA(F20:H20)&lt;2,"",IF(OR(COUNTIF(F20:H20,"Need")=COUNTA(F20:H20),COUNTIF(F20:H20,"Want")=COUNTA(F20:H20),COUNTIF(F20:H20,"Context / unsure")=COUNTA(F20:H20)),"No","Yes"))</f>
        <v/>
      </c>
      <c r="N20" s="15" t="n"/>
    </row>
    <row r="21" ht="24" customHeight="1">
      <c r="A21" s="14" t="inlineStr">
        <is>
          <t>03</t>
        </is>
      </c>
      <c r="B21" s="15" t="inlineStr">
        <is>
          <t>AirPods Pro, $179</t>
        </is>
      </c>
      <c r="C21" s="15" t="inlineStr">
        <is>
          <t>Has working wired earbuds</t>
        </is>
      </c>
      <c r="D21" s="16" t="inlineStr">
        <is>
          <t>Target</t>
        </is>
      </c>
      <c r="E21" s="16" t="inlineStr">
        <is>
          <t>General Merchandise</t>
        </is>
      </c>
      <c r="F21" s="16" t="n"/>
      <c r="G21" s="16" t="n"/>
      <c r="H21" s="16" t="n"/>
      <c r="I21" s="17">
        <f>IF(COUNTA(F21:H21)&lt;2,"",IF(COUNTIF(F21:H21,"Need")&gt;=2,"Need",IF(COUNTIF(F21:H21,"Want")&gt;=2,"Want",IF(COUNTIF(F21:H21,"Context / unsure")&gt;=2,"Context / unsure","No majority"))))</f>
        <v/>
      </c>
      <c r="J21" s="16" t="n"/>
      <c r="K21" s="16" t="n"/>
      <c r="L21" s="16" t="inlineStr">
        <is>
          <t>Want</t>
        </is>
      </c>
      <c r="M21" s="17">
        <f>IF(COUNTA(F21:H21)&lt;2,"",IF(OR(COUNTIF(F21:H21,"Need")=COUNTA(F21:H21),COUNTIF(F21:H21,"Want")=COUNTA(F21:H21),COUNTIF(F21:H21,"Context / unsure")=COUNTA(F21:H21)),"No","Yes"))</f>
        <v/>
      </c>
      <c r="N21" s="15" t="n"/>
    </row>
    <row r="22" ht="24" customHeight="1">
      <c r="A22" s="14" t="inlineStr">
        <is>
          <t>04</t>
        </is>
      </c>
      <c r="B22" s="15" t="inlineStr">
        <is>
          <t>Rent, $650</t>
        </is>
      </c>
      <c r="C22" s="15" t="inlineStr">
        <is>
          <t>Due on the 1st</t>
        </is>
      </c>
      <c r="D22" s="16" t="inlineStr">
        <is>
          <t>Landlord</t>
        </is>
      </c>
      <c r="E22" s="16" t="inlineStr">
        <is>
          <t>Rent</t>
        </is>
      </c>
      <c r="F22" s="16" t="n"/>
      <c r="G22" s="16" t="n"/>
      <c r="H22" s="16" t="n"/>
      <c r="I22" s="17">
        <f>IF(COUNTA(F22:H22)&lt;2,"",IF(COUNTIF(F22:H22,"Need")&gt;=2,"Need",IF(COUNTIF(F22:H22,"Want")&gt;=2,"Want",IF(COUNTIF(F22:H22,"Context / unsure")&gt;=2,"Context / unsure","No majority"))))</f>
        <v/>
      </c>
      <c r="J22" s="16" t="n"/>
      <c r="K22" s="16" t="n"/>
      <c r="L22" s="16" t="inlineStr">
        <is>
          <t>Need</t>
        </is>
      </c>
      <c r="M22" s="17">
        <f>IF(COUNTA(F22:H22)&lt;2,"",IF(OR(COUNTIF(F22:H22,"Need")=COUNTA(F22:H22),COUNTIF(F22:H22,"Want")=COUNTA(F22:H22),COUNTIF(F22:H22,"Context / unsure")=COUNTA(F22:H22)),"No","Yes"))</f>
        <v/>
      </c>
      <c r="N22" s="15" t="n"/>
    </row>
    <row r="23" ht="24" customHeight="1">
      <c r="A23" s="14" t="inlineStr">
        <is>
          <t>05</t>
        </is>
      </c>
      <c r="B23" s="15" t="inlineStr">
        <is>
          <t>Electric bill, $48</t>
        </is>
      </c>
      <c r="C23" s="15" t="inlineStr">
        <is>
          <t>Monthly</t>
        </is>
      </c>
      <c r="D23" s="16" t="inlineStr">
        <is>
          <t>Consumers Energy</t>
        </is>
      </c>
      <c r="E23" s="16" t="inlineStr">
        <is>
          <t>Utilities</t>
        </is>
      </c>
      <c r="F23" s="16" t="n"/>
      <c r="G23" s="16" t="n"/>
      <c r="H23" s="16" t="n"/>
      <c r="I23" s="17">
        <f>IF(COUNTA(F23:H23)&lt;2,"",IF(COUNTIF(F23:H23,"Need")&gt;=2,"Need",IF(COUNTIF(F23:H23,"Want")&gt;=2,"Want",IF(COUNTIF(F23:H23,"Context / unsure")&gt;=2,"Context / unsure","No majority"))))</f>
        <v/>
      </c>
      <c r="J23" s="16" t="n"/>
      <c r="K23" s="16" t="n"/>
      <c r="L23" s="16" t="inlineStr">
        <is>
          <t>Need</t>
        </is>
      </c>
      <c r="M23" s="17">
        <f>IF(COUNTA(F23:H23)&lt;2,"",IF(OR(COUNTIF(F23:H23,"Need")=COUNTA(F23:H23),COUNTIF(F23:H23,"Want")=COUNTA(F23:H23),COUNTIF(F23:H23,"Context / unsure")=COUNTA(F23:H23)),"No","Yes"))</f>
        <v/>
      </c>
      <c r="N23" s="15" t="n"/>
    </row>
    <row r="24" ht="24" customHeight="1">
      <c r="A24" s="14" t="inlineStr">
        <is>
          <t>06</t>
        </is>
      </c>
      <c r="B24" s="15" t="inlineStr">
        <is>
          <t>Phone bill, $45</t>
        </is>
      </c>
      <c r="C24" s="15" t="inlineStr">
        <is>
          <t>Monthly plan</t>
        </is>
      </c>
      <c r="D24" s="16" t="inlineStr">
        <is>
          <t>T-Mobile</t>
        </is>
      </c>
      <c r="E24" s="16" t="inlineStr">
        <is>
          <t>Phone</t>
        </is>
      </c>
      <c r="F24" s="16" t="n"/>
      <c r="G24" s="16" t="n"/>
      <c r="H24" s="16" t="n"/>
      <c r="I24" s="17">
        <f>IF(COUNTA(F24:H24)&lt;2,"",IF(COUNTIF(F24:H24,"Need")&gt;=2,"Need",IF(COUNTIF(F24:H24,"Want")&gt;=2,"Want",IF(COUNTIF(F24:H24,"Context / unsure")&gt;=2,"Context / unsure","No majority"))))</f>
        <v/>
      </c>
      <c r="J24" s="16" t="n"/>
      <c r="K24" s="16" t="n"/>
      <c r="L24" s="16" t="inlineStr">
        <is>
          <t>Need</t>
        </is>
      </c>
      <c r="M24" s="17">
        <f>IF(COUNTA(F24:H24)&lt;2,"",IF(OR(COUNTIF(F24:H24,"Need")=COUNTA(F24:H24),COUNTIF(F24:H24,"Want")=COUNTA(F24:H24),COUNTIF(F24:H24,"Context / unsure")=COUNTA(F24:H24)),"No","Yes"))</f>
        <v/>
      </c>
      <c r="N24" s="15" t="n"/>
    </row>
    <row r="25" ht="24" customHeight="1">
      <c r="A25" s="14" t="inlineStr">
        <is>
          <t>07</t>
        </is>
      </c>
      <c r="B25" s="15" t="inlineStr">
        <is>
          <t>Required textbook, $89</t>
        </is>
      </c>
      <c r="C25" s="15" t="inlineStr">
        <is>
          <t>On the syllabus, no used copy left</t>
        </is>
      </c>
      <c r="D25" s="16" t="inlineStr">
        <is>
          <t>Campus bookstore</t>
        </is>
      </c>
      <c r="E25" s="16" t="inlineStr">
        <is>
          <t>Education</t>
        </is>
      </c>
      <c r="F25" s="16" t="n"/>
      <c r="G25" s="16" t="n"/>
      <c r="H25" s="16" t="n"/>
      <c r="I25" s="17">
        <f>IF(COUNTA(F25:H25)&lt;2,"",IF(COUNTIF(F25:H25,"Need")&gt;=2,"Need",IF(COUNTIF(F25:H25,"Want")&gt;=2,"Want",IF(COUNTIF(F25:H25,"Context / unsure")&gt;=2,"Context / unsure","No majority"))))</f>
        <v/>
      </c>
      <c r="J25" s="16" t="n"/>
      <c r="K25" s="16" t="n"/>
      <c r="L25" s="16" t="inlineStr">
        <is>
          <t>Need</t>
        </is>
      </c>
      <c r="M25" s="17">
        <f>IF(COUNTA(F25:H25)&lt;2,"",IF(OR(COUNTIF(F25:H25,"Need")=COUNTA(F25:H25),COUNTIF(F25:H25,"Want")=COUNTA(F25:H25),COUNTIF(F25:H25,"Context / unsure")=COUNTA(F25:H25)),"No","Yes"))</f>
        <v/>
      </c>
      <c r="N25" s="15" t="n"/>
    </row>
    <row r="26" ht="24" customHeight="1">
      <c r="A26" s="14" t="inlineStr">
        <is>
          <t>08</t>
        </is>
      </c>
      <c r="B26" s="15" t="inlineStr">
        <is>
          <t>Monthly bus pass, $30</t>
        </is>
      </c>
      <c r="C26" s="15" t="inlineStr">
        <is>
          <t>Only way to class</t>
        </is>
      </c>
      <c r="D26" s="16" t="inlineStr">
        <is>
          <t>Transit authority</t>
        </is>
      </c>
      <c r="E26" s="16" t="inlineStr">
        <is>
          <t>Transportation</t>
        </is>
      </c>
      <c r="F26" s="16" t="n"/>
      <c r="G26" s="16" t="n"/>
      <c r="H26" s="16" t="n"/>
      <c r="I26" s="17">
        <f>IF(COUNTA(F26:H26)&lt;2,"",IF(COUNTIF(F26:H26,"Need")&gt;=2,"Need",IF(COUNTIF(F26:H26,"Want")&gt;=2,"Want",IF(COUNTIF(F26:H26,"Context / unsure")&gt;=2,"Context / unsure","No majority"))))</f>
        <v/>
      </c>
      <c r="J26" s="16" t="n"/>
      <c r="K26" s="16" t="n"/>
      <c r="L26" s="16" t="inlineStr">
        <is>
          <t>Need</t>
        </is>
      </c>
      <c r="M26" s="17">
        <f>IF(COUNTA(F26:H26)&lt;2,"",IF(OR(COUNTIF(F26:H26,"Need")=COUNTA(F26:H26),COUNTIF(F26:H26,"Want")=COUNTA(F26:H26),COUNTIF(F26:H26,"Context / unsure")=COUNTA(F26:H26)),"No","Yes"))</f>
        <v/>
      </c>
      <c r="N26" s="15" t="n"/>
    </row>
    <row r="27" ht="24" customHeight="1">
      <c r="A27" s="14" t="inlineStr">
        <is>
          <t>09</t>
        </is>
      </c>
      <c r="B27" s="15" t="inlineStr">
        <is>
          <t>Prescription refill, $12</t>
        </is>
      </c>
      <c r="C27" s="15" t="inlineStr">
        <is>
          <t>Monthly</t>
        </is>
      </c>
      <c r="D27" s="16" t="inlineStr">
        <is>
          <t>Pharmacy</t>
        </is>
      </c>
      <c r="E27" s="16" t="inlineStr">
        <is>
          <t>Pharmacy</t>
        </is>
      </c>
      <c r="F27" s="16" t="n"/>
      <c r="G27" s="16" t="n"/>
      <c r="H27" s="16" t="n"/>
      <c r="I27" s="17">
        <f>IF(COUNTA(F27:H27)&lt;2,"",IF(COUNTIF(F27:H27,"Need")&gt;=2,"Need",IF(COUNTIF(F27:H27,"Want")&gt;=2,"Want",IF(COUNTIF(F27:H27,"Context / unsure")&gt;=2,"Context / unsure","No majority"))))</f>
        <v/>
      </c>
      <c r="J27" s="16" t="n"/>
      <c r="K27" s="16" t="n"/>
      <c r="L27" s="16" t="inlineStr">
        <is>
          <t>Need</t>
        </is>
      </c>
      <c r="M27" s="17">
        <f>IF(COUNTA(F27:H27)&lt;2,"",IF(OR(COUNTIF(F27:H27,"Need")=COUNTA(F27:H27),COUNTIF(F27:H27,"Want")=COUNTA(F27:H27),COUNTIF(F27:H27,"Context / unsure")=COUNTA(F27:H27)),"No","Yes"))</f>
        <v/>
      </c>
      <c r="N27" s="15" t="n"/>
    </row>
    <row r="28" ht="24" customHeight="1">
      <c r="A28" s="14" t="inlineStr">
        <is>
          <t>10</t>
        </is>
      </c>
      <c r="B28" s="15" t="inlineStr">
        <is>
          <t>Eggs, milk, bread, $14</t>
        </is>
      </c>
      <c r="C28" s="15" t="inlineStr">
        <is>
          <t>Weekly groceries</t>
        </is>
      </c>
      <c r="D28" s="16" t="inlineStr">
        <is>
          <t>Kroger</t>
        </is>
      </c>
      <c r="E28" s="16" t="inlineStr">
        <is>
          <t>Grocery</t>
        </is>
      </c>
      <c r="F28" s="16" t="n"/>
      <c r="G28" s="16" t="n"/>
      <c r="H28" s="16" t="n"/>
      <c r="I28" s="17">
        <f>IF(COUNTA(F28:H28)&lt;2,"",IF(COUNTIF(F28:H28,"Need")&gt;=2,"Need",IF(COUNTIF(F28:H28,"Want")&gt;=2,"Want",IF(COUNTIF(F28:H28,"Context / unsure")&gt;=2,"Context / unsure","No majority"))))</f>
        <v/>
      </c>
      <c r="J28" s="16" t="n"/>
      <c r="K28" s="16" t="n"/>
      <c r="L28" s="16" t="inlineStr">
        <is>
          <t>Need</t>
        </is>
      </c>
      <c r="M28" s="17">
        <f>IF(COUNTA(F28:H28)&lt;2,"",IF(OR(COUNTIF(F28:H28,"Need")=COUNTA(F28:H28),COUNTIF(F28:H28,"Want")=COUNTA(F28:H28),COUNTIF(F28:H28,"Context / unsure")=COUNTA(F28:H28)),"No","Yes"))</f>
        <v/>
      </c>
      <c r="N28" s="15" t="n"/>
    </row>
    <row r="29" ht="24" customHeight="1">
      <c r="A29" s="14" t="inlineStr">
        <is>
          <t>11</t>
        </is>
      </c>
      <c r="B29" s="15" t="inlineStr">
        <is>
          <t>Laundry, $6</t>
        </is>
      </c>
      <c r="C29" s="15" t="inlineStr">
        <is>
          <t>Weekly</t>
        </is>
      </c>
      <c r="D29" s="16" t="inlineStr">
        <is>
          <t>Campus laundry</t>
        </is>
      </c>
      <c r="E29" s="16" t="inlineStr">
        <is>
          <t>Services</t>
        </is>
      </c>
      <c r="F29" s="16" t="n"/>
      <c r="G29" s="16" t="n"/>
      <c r="H29" s="16" t="n"/>
      <c r="I29" s="17">
        <f>IF(COUNTA(F29:H29)&lt;2,"",IF(COUNTIF(F29:H29,"Need")&gt;=2,"Need",IF(COUNTIF(F29:H29,"Want")&gt;=2,"Want",IF(COUNTIF(F29:H29,"Context / unsure")&gt;=2,"Context / unsure","No majority"))))</f>
        <v/>
      </c>
      <c r="J29" s="16" t="n"/>
      <c r="K29" s="16" t="n"/>
      <c r="L29" s="16" t="inlineStr">
        <is>
          <t>Need</t>
        </is>
      </c>
      <c r="M29" s="17">
        <f>IF(COUNTA(F29:H29)&lt;2,"",IF(OR(COUNTIF(F29:H29,"Need")=COUNTA(F29:H29),COUNTIF(F29:H29,"Want")=COUNTA(F29:H29),COUNTIF(F29:H29,"Context / unsure")=COUNTA(F29:H29)),"No","Yes"))</f>
        <v/>
      </c>
      <c r="N29" s="15" t="n"/>
    </row>
    <row r="30" ht="24" customHeight="1">
      <c r="A30" s="14" t="inlineStr">
        <is>
          <t>12</t>
        </is>
      </c>
      <c r="B30" s="15" t="inlineStr">
        <is>
          <t>Winter coat, $70</t>
        </is>
      </c>
      <c r="C30" s="15" t="inlineStr">
        <is>
          <t>First Michigan winter, owns no coat</t>
        </is>
      </c>
      <c r="D30" s="16" t="inlineStr">
        <is>
          <t>Walmart</t>
        </is>
      </c>
      <c r="E30" s="16" t="inlineStr">
        <is>
          <t>Clothing</t>
        </is>
      </c>
      <c r="F30" s="16" t="n"/>
      <c r="G30" s="16" t="n"/>
      <c r="H30" s="16" t="n"/>
      <c r="I30" s="17">
        <f>IF(COUNTA(F30:H30)&lt;2,"",IF(COUNTIF(F30:H30,"Need")&gt;=2,"Need",IF(COUNTIF(F30:H30,"Want")&gt;=2,"Want",IF(COUNTIF(F30:H30,"Context / unsure")&gt;=2,"Context / unsure","No majority"))))</f>
        <v/>
      </c>
      <c r="J30" s="16" t="n"/>
      <c r="K30" s="16" t="n"/>
      <c r="L30" s="16" t="inlineStr">
        <is>
          <t>Want</t>
        </is>
      </c>
      <c r="M30" s="17">
        <f>IF(COUNTA(F30:H30)&lt;2,"",IF(OR(COUNTIF(F30:H30,"Need")=COUNTA(F30:H30),COUNTIF(F30:H30,"Want")=COUNTA(F30:H30),COUNTIF(F30:H30,"Context / unsure")=COUNTA(F30:H30)),"No","Yes"))</f>
        <v/>
      </c>
      <c r="N30" s="15" t="n"/>
    </row>
    <row r="31" ht="24" customHeight="1">
      <c r="A31" s="14" t="inlineStr">
        <is>
          <t>13</t>
        </is>
      </c>
      <c r="B31" s="15" t="inlineStr">
        <is>
          <t>Laptop charger, $35</t>
        </is>
      </c>
      <c r="C31" s="15" t="inlineStr">
        <is>
          <t>Old one stopped working</t>
        </is>
      </c>
      <c r="D31" s="16" t="inlineStr">
        <is>
          <t>Amazon</t>
        </is>
      </c>
      <c r="E31" s="16" t="inlineStr">
        <is>
          <t>Shopping</t>
        </is>
      </c>
      <c r="F31" s="16" t="n"/>
      <c r="G31" s="16" t="n"/>
      <c r="H31" s="16" t="n"/>
      <c r="I31" s="17">
        <f>IF(COUNTA(F31:H31)&lt;2,"",IF(COUNTIF(F31:H31,"Need")&gt;=2,"Need",IF(COUNTIF(F31:H31,"Want")&gt;=2,"Want",IF(COUNTIF(F31:H31,"Context / unsure")&gt;=2,"Context / unsure","No majority"))))</f>
        <v/>
      </c>
      <c r="J31" s="16" t="n"/>
      <c r="K31" s="16" t="n"/>
      <c r="L31" s="16" t="inlineStr">
        <is>
          <t>Want</t>
        </is>
      </c>
      <c r="M31" s="17">
        <f>IF(COUNTA(F31:H31)&lt;2,"",IF(OR(COUNTIF(F31:H31,"Need")=COUNTA(F31:H31),COUNTIF(F31:H31,"Want")=COUNTA(F31:H31),COUNTIF(F31:H31,"Context / unsure")=COUNTA(F31:H31)),"No","Yes"))</f>
        <v/>
      </c>
      <c r="N31" s="15" t="n"/>
    </row>
    <row r="32" ht="24" customHeight="1">
      <c r="A32" s="14" t="inlineStr">
        <is>
          <t>14</t>
        </is>
      </c>
      <c r="B32" s="15" t="inlineStr">
        <is>
          <t>Lab fee, $200</t>
        </is>
      </c>
      <c r="C32" s="15" t="inlineStr">
        <is>
          <t>Charged by the university</t>
        </is>
      </c>
      <c r="D32" s="16" t="inlineStr">
        <is>
          <t>University</t>
        </is>
      </c>
      <c r="E32" s="16" t="inlineStr">
        <is>
          <t>Education</t>
        </is>
      </c>
      <c r="F32" s="16" t="n"/>
      <c r="G32" s="16" t="n"/>
      <c r="H32" s="16" t="n"/>
      <c r="I32" s="17">
        <f>IF(COUNTA(F32:H32)&lt;2,"",IF(COUNTIF(F32:H32,"Need")&gt;=2,"Need",IF(COUNTIF(F32:H32,"Want")&gt;=2,"Want",IF(COUNTIF(F32:H32,"Context / unsure")&gt;=2,"Context / unsure","No majority"))))</f>
        <v/>
      </c>
      <c r="J32" s="16" t="n"/>
      <c r="K32" s="16" t="n"/>
      <c r="L32" s="16" t="inlineStr">
        <is>
          <t>Need</t>
        </is>
      </c>
      <c r="M32" s="17">
        <f>IF(COUNTA(F32:H32)&lt;2,"",IF(OR(COUNTIF(F32:H32,"Need")=COUNTA(F32:H32),COUNTIF(F32:H32,"Want")=COUNTA(F32:H32),COUNTIF(F32:H32,"Context / unsure")=COUNTA(F32:H32)),"No","Yes"))</f>
        <v/>
      </c>
      <c r="N32" s="15" t="n"/>
    </row>
    <row r="33" ht="24" customHeight="1">
      <c r="A33" s="14" t="inlineStr">
        <is>
          <t>15</t>
        </is>
      </c>
      <c r="B33" s="15" t="inlineStr">
        <is>
          <t>Health insurance, $120</t>
        </is>
      </c>
      <c r="C33" s="15" t="inlineStr">
        <is>
          <t>Monthly premium</t>
        </is>
      </c>
      <c r="D33" s="16" t="inlineStr">
        <is>
          <t>Insurer</t>
        </is>
      </c>
      <c r="E33" s="16" t="inlineStr">
        <is>
          <t>Insurance</t>
        </is>
      </c>
      <c r="F33" s="16" t="n"/>
      <c r="G33" s="16" t="n"/>
      <c r="H33" s="16" t="n"/>
      <c r="I33" s="17">
        <f>IF(COUNTA(F33:H33)&lt;2,"",IF(COUNTIF(F33:H33,"Need")&gt;=2,"Need",IF(COUNTIF(F33:H33,"Want")&gt;=2,"Want",IF(COUNTIF(F33:H33,"Context / unsure")&gt;=2,"Context / unsure","No majority"))))</f>
        <v/>
      </c>
      <c r="J33" s="16" t="n"/>
      <c r="K33" s="16" t="n"/>
      <c r="L33" s="16" t="inlineStr">
        <is>
          <t>Need</t>
        </is>
      </c>
      <c r="M33" s="17">
        <f>IF(COUNTA(F33:H33)&lt;2,"",IF(OR(COUNTIF(F33:H33,"Need")=COUNTA(F33:H33),COUNTIF(F33:H33,"Want")=COUNTA(F33:H33),COUNTIF(F33:H33,"Context / unsure")=COUNTA(F33:H33)),"No","Yes"))</f>
        <v/>
      </c>
      <c r="N33" s="15" t="n"/>
    </row>
    <row r="34" ht="24" customHeight="1">
      <c r="A34" s="14" t="inlineStr">
        <is>
          <t>16</t>
        </is>
      </c>
      <c r="B34" s="15" t="inlineStr">
        <is>
          <t>Palm oil, crayfish, stockfish, $28</t>
        </is>
      </c>
      <c r="C34" s="15" t="inlineStr">
        <is>
          <t>Groceries for the month</t>
        </is>
      </c>
      <c r="D34" s="16" t="inlineStr">
        <is>
          <t>African food store</t>
        </is>
      </c>
      <c r="E34" s="16" t="inlineStr">
        <is>
          <t>Grocery</t>
        </is>
      </c>
      <c r="F34" s="16" t="n"/>
      <c r="G34" s="16" t="n"/>
      <c r="H34" s="16" t="n"/>
      <c r="I34" s="17">
        <f>IF(COUNTA(F34:H34)&lt;2,"",IF(COUNTIF(F34:H34,"Need")&gt;=2,"Need",IF(COUNTIF(F34:H34,"Want")&gt;=2,"Want",IF(COUNTIF(F34:H34,"Context / unsure")&gt;=2,"Context / unsure","No majority"))))</f>
        <v/>
      </c>
      <c r="J34" s="16" t="n"/>
      <c r="K34" s="16" t="n"/>
      <c r="L34" s="16" t="inlineStr">
        <is>
          <t>Need</t>
        </is>
      </c>
      <c r="M34" s="17">
        <f>IF(COUNTA(F34:H34)&lt;2,"",IF(OR(COUNTIF(F34:H34,"Need")=COUNTA(F34:H34),COUNTIF(F34:H34,"Want")=COUNTA(F34:H34),COUNTIF(F34:H34,"Context / unsure")=COUNTA(F34:H34)),"No","Yes"))</f>
        <v/>
      </c>
      <c r="N34" s="15" t="n"/>
    </row>
    <row r="35" ht="24" customHeight="1">
      <c r="A35" s="14" t="inlineStr">
        <is>
          <t>17</t>
        </is>
      </c>
      <c r="B35" s="15" t="inlineStr">
        <is>
          <t>Latte, $7</t>
        </is>
      </c>
      <c r="C35" s="15" t="inlineStr">
        <is>
          <t>Third one this week</t>
        </is>
      </c>
      <c r="D35" s="16" t="inlineStr">
        <is>
          <t>Starbucks</t>
        </is>
      </c>
      <c r="E35" s="16" t="inlineStr">
        <is>
          <t>Coffee</t>
        </is>
      </c>
      <c r="F35" s="16" t="n"/>
      <c r="G35" s="16" t="n"/>
      <c r="H35" s="16" t="n"/>
      <c r="I35" s="17">
        <f>IF(COUNTA(F35:H35)&lt;2,"",IF(COUNTIF(F35:H35,"Need")&gt;=2,"Need",IF(COUNTIF(F35:H35,"Want")&gt;=2,"Want",IF(COUNTIF(F35:H35,"Context / unsure")&gt;=2,"Context / unsure","No majority"))))</f>
        <v/>
      </c>
      <c r="J35" s="16" t="n"/>
      <c r="K35" s="16" t="n"/>
      <c r="L35" s="16" t="inlineStr">
        <is>
          <t>Want</t>
        </is>
      </c>
      <c r="M35" s="17">
        <f>IF(COUNTA(F35:H35)&lt;2,"",IF(OR(COUNTIF(F35:H35,"Need")=COUNTA(F35:H35),COUNTIF(F35:H35,"Want")=COUNTA(F35:H35),COUNTIF(F35:H35,"Context / unsure")=COUNTA(F35:H35)),"No","Yes"))</f>
        <v/>
      </c>
      <c r="N35" s="15" t="n"/>
    </row>
    <row r="36" ht="24" customHeight="1">
      <c r="A36" s="14" t="inlineStr">
        <is>
          <t>18</t>
        </is>
      </c>
      <c r="B36" s="15" t="inlineStr">
        <is>
          <t>Food delivery, $32</t>
        </is>
      </c>
      <c r="C36" s="15" t="inlineStr">
        <is>
          <t>Groceries already at home</t>
        </is>
      </c>
      <c r="D36" s="16" t="inlineStr">
        <is>
          <t>DoorDash</t>
        </is>
      </c>
      <c r="E36" s="16" t="inlineStr">
        <is>
          <t>Restaurants</t>
        </is>
      </c>
      <c r="F36" s="16" t="n"/>
      <c r="G36" s="16" t="n"/>
      <c r="H36" s="16" t="n"/>
      <c r="I36" s="17">
        <f>IF(COUNTA(F36:H36)&lt;2,"",IF(COUNTIF(F36:H36,"Need")&gt;=2,"Need",IF(COUNTIF(F36:H36,"Want")&gt;=2,"Want",IF(COUNTIF(F36:H36,"Context / unsure")&gt;=2,"Context / unsure","No majority"))))</f>
        <v/>
      </c>
      <c r="J36" s="16" t="n"/>
      <c r="K36" s="16" t="n"/>
      <c r="L36" s="16" t="inlineStr">
        <is>
          <t>Want</t>
        </is>
      </c>
      <c r="M36" s="17">
        <f>IF(COUNTA(F36:H36)&lt;2,"",IF(OR(COUNTIF(F36:H36,"Need")=COUNTA(F36:H36),COUNTIF(F36:H36,"Want")=COUNTA(F36:H36),COUNTIF(F36:H36,"Context / unsure")=COUNTA(F36:H36)),"No","Yes"))</f>
        <v/>
      </c>
      <c r="N36" s="15" t="n"/>
    </row>
    <row r="37" ht="24" customHeight="1">
      <c r="A37" s="14" t="inlineStr">
        <is>
          <t>19</t>
        </is>
      </c>
      <c r="B37" s="15" t="inlineStr">
        <is>
          <t>New video game, $70</t>
        </is>
      </c>
      <c r="C37" s="15" t="inlineStr">
        <is>
          <t>Day one release</t>
        </is>
      </c>
      <c r="D37" s="16" t="inlineStr">
        <is>
          <t>PlayStation Store</t>
        </is>
      </c>
      <c r="E37" s="16" t="inlineStr">
        <is>
          <t>Entertainment</t>
        </is>
      </c>
      <c r="F37" s="16" t="n"/>
      <c r="G37" s="16" t="n"/>
      <c r="H37" s="16" t="n"/>
      <c r="I37" s="17">
        <f>IF(COUNTA(F37:H37)&lt;2,"",IF(COUNTIF(F37:H37,"Need")&gt;=2,"Need",IF(COUNTIF(F37:H37,"Want")&gt;=2,"Want",IF(COUNTIF(F37:H37,"Context / unsure")&gt;=2,"Context / unsure","No majority"))))</f>
        <v/>
      </c>
      <c r="J37" s="16" t="n"/>
      <c r="K37" s="16" t="n"/>
      <c r="L37" s="16" t="inlineStr">
        <is>
          <t>Want</t>
        </is>
      </c>
      <c r="M37" s="17">
        <f>IF(COUNTA(F37:H37)&lt;2,"",IF(OR(COUNTIF(F37:H37,"Need")=COUNTA(F37:H37),COUNTIF(F37:H37,"Want")=COUNTA(F37:H37),COUNTIF(F37:H37,"Context / unsure")=COUNTA(F37:H37)),"No","Yes"))</f>
        <v/>
      </c>
      <c r="N37" s="15" t="n"/>
    </row>
    <row r="38" ht="24" customHeight="1">
      <c r="A38" s="14" t="inlineStr">
        <is>
          <t>20</t>
        </is>
      </c>
      <c r="B38" s="15" t="inlineStr">
        <is>
          <t>Jordans, $190</t>
        </is>
      </c>
      <c r="C38" s="15" t="inlineStr">
        <is>
          <t>Owns four pairs of sneakers</t>
        </is>
      </c>
      <c r="D38" s="16" t="inlineStr">
        <is>
          <t>Foot Locker</t>
        </is>
      </c>
      <c r="E38" s="16" t="inlineStr">
        <is>
          <t>Clothing</t>
        </is>
      </c>
      <c r="F38" s="16" t="n"/>
      <c r="G38" s="16" t="n"/>
      <c r="H38" s="16" t="n"/>
      <c r="I38" s="17">
        <f>IF(COUNTA(F38:H38)&lt;2,"",IF(COUNTIF(F38:H38,"Need")&gt;=2,"Need",IF(COUNTIF(F38:H38,"Want")&gt;=2,"Want",IF(COUNTIF(F38:H38,"Context / unsure")&gt;=2,"Context / unsure","No majority"))))</f>
        <v/>
      </c>
      <c r="J38" s="16" t="n"/>
      <c r="K38" s="16" t="n"/>
      <c r="L38" s="16" t="inlineStr">
        <is>
          <t>Want</t>
        </is>
      </c>
      <c r="M38" s="17">
        <f>IF(COUNTA(F38:H38)&lt;2,"",IF(OR(COUNTIF(F38:H38,"Need")=COUNTA(F38:H38),COUNTIF(F38:H38,"Want")=COUNTA(F38:H38),COUNTIF(F38:H38,"Context / unsure")=COUNTA(F38:H38)),"No","Yes"))</f>
        <v/>
      </c>
      <c r="N38" s="15" t="n"/>
    </row>
    <row r="39" ht="24" customHeight="1">
      <c r="A39" s="14" t="inlineStr">
        <is>
          <t>21</t>
        </is>
      </c>
      <c r="B39" s="15" t="inlineStr">
        <is>
          <t>Third hoodie this month, $55</t>
        </is>
      </c>
      <c r="C39" s="15" t="inlineStr"/>
      <c r="D39" s="16" t="inlineStr">
        <is>
          <t>Online store</t>
        </is>
      </c>
      <c r="E39" s="16" t="inlineStr">
        <is>
          <t>Clothing</t>
        </is>
      </c>
      <c r="F39" s="16" t="n"/>
      <c r="G39" s="16" t="n"/>
      <c r="H39" s="16" t="n"/>
      <c r="I39" s="17">
        <f>IF(COUNTA(F39:H39)&lt;2,"",IF(COUNTIF(F39:H39,"Need")&gt;=2,"Need",IF(COUNTIF(F39:H39,"Want")&gt;=2,"Want",IF(COUNTIF(F39:H39,"Context / unsure")&gt;=2,"Context / unsure","No majority"))))</f>
        <v/>
      </c>
      <c r="J39" s="16" t="n"/>
      <c r="K39" s="16" t="n"/>
      <c r="L39" s="16" t="inlineStr">
        <is>
          <t>Want</t>
        </is>
      </c>
      <c r="M39" s="17">
        <f>IF(COUNTA(F39:H39)&lt;2,"",IF(OR(COUNTIF(F39:H39,"Need")=COUNTA(F39:H39),COUNTIF(F39:H39,"Want")=COUNTA(F39:H39),COUNTIF(F39:H39,"Context / unsure")=COUNTA(F39:H39)),"No","Yes"))</f>
        <v/>
      </c>
      <c r="N39" s="15" t="n"/>
    </row>
    <row r="40" ht="24" customHeight="1">
      <c r="A40" s="14" t="inlineStr">
        <is>
          <t>22</t>
        </is>
      </c>
      <c r="B40" s="15" t="inlineStr">
        <is>
          <t>Uber, 0.8 miles, $14</t>
        </is>
      </c>
      <c r="C40" s="15" t="inlineStr">
        <is>
          <t>Sunny afternoon, walkable</t>
        </is>
      </c>
      <c r="D40" s="16" t="inlineStr">
        <is>
          <t>Uber</t>
        </is>
      </c>
      <c r="E40" s="16" t="inlineStr">
        <is>
          <t>Transportation</t>
        </is>
      </c>
      <c r="F40" s="16" t="n"/>
      <c r="G40" s="16" t="n"/>
      <c r="H40" s="16" t="n"/>
      <c r="I40" s="17">
        <f>IF(COUNTA(F40:H40)&lt;2,"",IF(COUNTIF(F40:H40,"Need")&gt;=2,"Need",IF(COUNTIF(F40:H40,"Want")&gt;=2,"Want",IF(COUNTIF(F40:H40,"Context / unsure")&gt;=2,"Context / unsure","No majority"))))</f>
        <v/>
      </c>
      <c r="J40" s="16" t="n"/>
      <c r="K40" s="16" t="n"/>
      <c r="L40" s="16" t="inlineStr">
        <is>
          <t>Need</t>
        </is>
      </c>
      <c r="M40" s="17">
        <f>IF(COUNTA(F40:H40)&lt;2,"",IF(OR(COUNTIF(F40:H40,"Need")=COUNTA(F40:H40),COUNTIF(F40:H40,"Want")=COUNTA(F40:H40),COUNTIF(F40:H40,"Context / unsure")=COUNTA(F40:H40)),"No","Yes"))</f>
        <v/>
      </c>
      <c r="N40" s="15" t="n"/>
    </row>
    <row r="41" ht="24" customHeight="1">
      <c r="A41" s="14" t="inlineStr">
        <is>
          <t>23</t>
        </is>
      </c>
      <c r="B41" s="15" t="inlineStr">
        <is>
          <t>Concert ticket, $85</t>
        </is>
      </c>
      <c r="C41" s="15" t="inlineStr">
        <is>
          <t>Friends are going</t>
        </is>
      </c>
      <c r="D41" s="16" t="inlineStr">
        <is>
          <t>Ticketmaster</t>
        </is>
      </c>
      <c r="E41" s="16" t="inlineStr">
        <is>
          <t>Entertainment</t>
        </is>
      </c>
      <c r="F41" s="16" t="n"/>
      <c r="G41" s="16" t="n"/>
      <c r="H41" s="16" t="n"/>
      <c r="I41" s="17">
        <f>IF(COUNTA(F41:H41)&lt;2,"",IF(COUNTIF(F41:H41,"Need")&gt;=2,"Need",IF(COUNTIF(F41:H41,"Want")&gt;=2,"Want",IF(COUNTIF(F41:H41,"Context / unsure")&gt;=2,"Context / unsure","No majority"))))</f>
        <v/>
      </c>
      <c r="J41" s="16" t="n"/>
      <c r="K41" s="16" t="n"/>
      <c r="L41" s="16" t="inlineStr">
        <is>
          <t>Want</t>
        </is>
      </c>
      <c r="M41" s="17">
        <f>IF(COUNTA(F41:H41)&lt;2,"",IF(OR(COUNTIF(F41:H41,"Need")=COUNTA(F41:H41),COUNTIF(F41:H41,"Want")=COUNTA(F41:H41),COUNTIF(F41:H41,"Context / unsure")=COUNTA(F41:H41)),"No","Yes"))</f>
        <v/>
      </c>
      <c r="N41" s="15" t="n"/>
    </row>
    <row r="42" ht="24" customHeight="1">
      <c r="A42" s="14" t="inlineStr">
        <is>
          <t>24</t>
        </is>
      </c>
      <c r="B42" s="15" t="inlineStr">
        <is>
          <t>Fourth streaming subscription, $15</t>
        </is>
      </c>
      <c r="C42" s="15" t="inlineStr">
        <is>
          <t>Already pays for three</t>
        </is>
      </c>
      <c r="D42" s="16" t="inlineStr">
        <is>
          <t>Streaming service</t>
        </is>
      </c>
      <c r="E42" s="16" t="inlineStr">
        <is>
          <t>Subscriptions</t>
        </is>
      </c>
      <c r="F42" s="16" t="n"/>
      <c r="G42" s="16" t="n"/>
      <c r="H42" s="16" t="n"/>
      <c r="I42" s="17">
        <f>IF(COUNTA(F42:H42)&lt;2,"",IF(COUNTIF(F42:H42,"Need")&gt;=2,"Need",IF(COUNTIF(F42:H42,"Want")&gt;=2,"Want",IF(COUNTIF(F42:H42,"Context / unsure")&gt;=2,"Context / unsure","No majority"))))</f>
        <v/>
      </c>
      <c r="J42" s="16" t="n"/>
      <c r="K42" s="16" t="n"/>
      <c r="L42" s="16" t="inlineStr">
        <is>
          <t>Want</t>
        </is>
      </c>
      <c r="M42" s="17">
        <f>IF(COUNTA(F42:H42)&lt;2,"",IF(OR(COUNTIF(F42:H42,"Need")=COUNTA(F42:H42),COUNTIF(F42:H42,"Want")=COUNTA(F42:H42),COUNTIF(F42:H42,"Context / unsure")=COUNTA(F42:H42)),"No","Yes"))</f>
        <v/>
      </c>
      <c r="N42" s="15" t="n"/>
    </row>
    <row r="43" ht="24" customHeight="1">
      <c r="A43" s="14" t="inlineStr">
        <is>
          <t>25</t>
        </is>
      </c>
      <c r="B43" s="15" t="inlineStr">
        <is>
          <t>New phone case, $45</t>
        </is>
      </c>
      <c r="C43" s="15" t="inlineStr">
        <is>
          <t>Current case is fine</t>
        </is>
      </c>
      <c r="D43" s="16" t="inlineStr">
        <is>
          <t>Amazon</t>
        </is>
      </c>
      <c r="E43" s="16" t="inlineStr">
        <is>
          <t>Shopping</t>
        </is>
      </c>
      <c r="F43" s="16" t="n"/>
      <c r="G43" s="16" t="n"/>
      <c r="H43" s="16" t="n"/>
      <c r="I43" s="17">
        <f>IF(COUNTA(F43:H43)&lt;2,"",IF(COUNTIF(F43:H43,"Need")&gt;=2,"Need",IF(COUNTIF(F43:H43,"Want")&gt;=2,"Want",IF(COUNTIF(F43:H43,"Context / unsure")&gt;=2,"Context / unsure","No majority"))))</f>
        <v/>
      </c>
      <c r="J43" s="16" t="n"/>
      <c r="K43" s="16" t="n"/>
      <c r="L43" s="16" t="inlineStr">
        <is>
          <t>Want</t>
        </is>
      </c>
      <c r="M43" s="17">
        <f>IF(COUNTA(F43:H43)&lt;2,"",IF(OR(COUNTIF(F43:H43,"Need")=COUNTA(F43:H43),COUNTIF(F43:H43,"Want")=COUNTA(F43:H43),COUNTIF(F43:H43,"Context / unsure")=COUNTA(F43:H43)),"No","Yes"))</f>
        <v/>
      </c>
      <c r="N43" s="15" t="n"/>
    </row>
    <row r="44" ht="24" customHeight="1">
      <c r="A44" s="14" t="inlineStr">
        <is>
          <t>26</t>
        </is>
      </c>
      <c r="B44" s="15" t="inlineStr">
        <is>
          <t>Energy drinks, 12 pack, $28</t>
        </is>
      </c>
      <c r="C44" s="15" t="inlineStr"/>
      <c r="D44" s="16" t="inlineStr">
        <is>
          <t>Gas station</t>
        </is>
      </c>
      <c r="E44" s="16" t="inlineStr">
        <is>
          <t>Grocery</t>
        </is>
      </c>
      <c r="F44" s="16" t="n"/>
      <c r="G44" s="16" t="n"/>
      <c r="H44" s="16" t="n"/>
      <c r="I44" s="17">
        <f>IF(COUNTA(F44:H44)&lt;2,"",IF(COUNTIF(F44:H44,"Need")&gt;=2,"Need",IF(COUNTIF(F44:H44,"Want")&gt;=2,"Want",IF(COUNTIF(F44:H44,"Context / unsure")&gt;=2,"Context / unsure","No majority"))))</f>
        <v/>
      </c>
      <c r="J44" s="16" t="n"/>
      <c r="K44" s="16" t="n"/>
      <c r="L44" s="16" t="inlineStr">
        <is>
          <t>Need</t>
        </is>
      </c>
      <c r="M44" s="17">
        <f>IF(COUNTA(F44:H44)&lt;2,"",IF(OR(COUNTIF(F44:H44,"Need")=COUNTA(F44:H44),COUNTIF(F44:H44,"Want")=COUNTA(F44:H44),COUNTIF(F44:H44,"Context / unsure")=COUNTA(F44:H44)),"No","Yes"))</f>
        <v/>
      </c>
      <c r="N44" s="15" t="n"/>
    </row>
    <row r="45" ht="24" customHeight="1">
      <c r="A45" s="14" t="inlineStr">
        <is>
          <t>27</t>
        </is>
      </c>
      <c r="B45" s="15" t="inlineStr">
        <is>
          <t>Bubble tea, $8</t>
        </is>
      </c>
      <c r="C45" s="15" t="inlineStr">
        <is>
          <t>Second time today</t>
        </is>
      </c>
      <c r="D45" s="16" t="inlineStr">
        <is>
          <t>Boba shop</t>
        </is>
      </c>
      <c r="E45" s="16" t="inlineStr">
        <is>
          <t>Restaurants</t>
        </is>
      </c>
      <c r="F45" s="16" t="n"/>
      <c r="G45" s="16" t="n"/>
      <c r="H45" s="16" t="n"/>
      <c r="I45" s="17">
        <f>IF(COUNTA(F45:H45)&lt;2,"",IF(COUNTIF(F45:H45,"Need")&gt;=2,"Need",IF(COUNTIF(F45:H45,"Want")&gt;=2,"Want",IF(COUNTIF(F45:H45,"Context / unsure")&gt;=2,"Context / unsure","No majority"))))</f>
        <v/>
      </c>
      <c r="J45" s="16" t="n"/>
      <c r="K45" s="16" t="n"/>
      <c r="L45" s="16" t="inlineStr">
        <is>
          <t>Want</t>
        </is>
      </c>
      <c r="M45" s="17">
        <f>IF(COUNTA(F45:H45)&lt;2,"",IF(OR(COUNTIF(F45:H45,"Need")=COUNTA(F45:H45),COUNTIF(F45:H45,"Want")=COUNTA(F45:H45),COUNTIF(F45:H45,"Context / unsure")=COUNTA(F45:H45)),"No","Yes"))</f>
        <v/>
      </c>
      <c r="N45" s="15" t="n"/>
    </row>
    <row r="46" ht="24" customHeight="1">
      <c r="A46" s="14" t="inlineStr">
        <is>
          <t>28</t>
        </is>
      </c>
      <c r="B46" s="15" t="inlineStr">
        <is>
          <t>Crypto buy, $50</t>
        </is>
      </c>
      <c r="C46" s="15" t="inlineStr">
        <is>
          <t>Saw a post about it</t>
        </is>
      </c>
      <c r="D46" s="16" t="inlineStr">
        <is>
          <t>Coinbase</t>
        </is>
      </c>
      <c r="E46" s="16" t="inlineStr">
        <is>
          <t>Investments</t>
        </is>
      </c>
      <c r="F46" s="16" t="n"/>
      <c r="G46" s="16" t="n"/>
      <c r="H46" s="16" t="n"/>
      <c r="I46" s="17">
        <f>IF(COUNTA(F46:H46)&lt;2,"",IF(COUNTIF(F46:H46,"Need")&gt;=2,"Need",IF(COUNTIF(F46:H46,"Want")&gt;=2,"Want",IF(COUNTIF(F46:H46,"Context / unsure")&gt;=2,"Context / unsure","No majority"))))</f>
        <v/>
      </c>
      <c r="J46" s="16" t="n"/>
      <c r="K46" s="16" t="n"/>
      <c r="L46" s="16" t="inlineStr">
        <is>
          <t>Want</t>
        </is>
      </c>
      <c r="M46" s="17">
        <f>IF(COUNTA(F46:H46)&lt;2,"",IF(OR(COUNTIF(F46:H46,"Need")=COUNTA(F46:H46),COUNTIF(F46:H46,"Want")=COUNTA(F46:H46),COUNTIF(F46:H46,"Context / unsure")=COUNTA(F46:H46)),"No","Yes"))</f>
        <v/>
      </c>
      <c r="N46" s="15" t="n"/>
    </row>
    <row r="47" ht="24" customHeight="1">
      <c r="A47" s="14" t="inlineStr">
        <is>
          <t>29</t>
        </is>
      </c>
      <c r="B47" s="15" t="inlineStr">
        <is>
          <t>LED strip lights, $25</t>
        </is>
      </c>
      <c r="C47" s="15" t="inlineStr">
        <is>
          <t>Dorm decoration</t>
        </is>
      </c>
      <c r="D47" s="16" t="inlineStr">
        <is>
          <t>Amazon</t>
        </is>
      </c>
      <c r="E47" s="16" t="inlineStr">
        <is>
          <t>Shopping</t>
        </is>
      </c>
      <c r="F47" s="16" t="n"/>
      <c r="G47" s="16" t="n"/>
      <c r="H47" s="16" t="n"/>
      <c r="I47" s="17">
        <f>IF(COUNTA(F47:H47)&lt;2,"",IF(COUNTIF(F47:H47,"Need")&gt;=2,"Need",IF(COUNTIF(F47:H47,"Want")&gt;=2,"Want",IF(COUNTIF(F47:H47,"Context / unsure")&gt;=2,"Context / unsure","No majority"))))</f>
        <v/>
      </c>
      <c r="J47" s="16" t="n"/>
      <c r="K47" s="16" t="n"/>
      <c r="L47" s="16" t="inlineStr">
        <is>
          <t>Want</t>
        </is>
      </c>
      <c r="M47" s="17">
        <f>IF(COUNTA(F47:H47)&lt;2,"",IF(OR(COUNTIF(F47:H47,"Need")=COUNTA(F47:H47),COUNTIF(F47:H47,"Want")=COUNTA(F47:H47),COUNTIF(F47:H47,"Context / unsure")=COUNTA(F47:H47)),"No","Yes"))</f>
        <v/>
      </c>
      <c r="N47" s="15" t="n"/>
    </row>
    <row r="48" ht="24" customHeight="1">
      <c r="A48" s="14" t="inlineStr">
        <is>
          <t>30</t>
        </is>
      </c>
      <c r="B48" s="15" t="inlineStr">
        <is>
          <t>Nails, $60</t>
        </is>
      </c>
      <c r="C48" s="15" t="inlineStr">
        <is>
          <t>Every two weeks</t>
        </is>
      </c>
      <c r="D48" s="16" t="inlineStr">
        <is>
          <t>Nail salon</t>
        </is>
      </c>
      <c r="E48" s="16" t="inlineStr">
        <is>
          <t>Personal Care</t>
        </is>
      </c>
      <c r="F48" s="16" t="n"/>
      <c r="G48" s="16" t="n"/>
      <c r="H48" s="16" t="n"/>
      <c r="I48" s="17">
        <f>IF(COUNTA(F48:H48)&lt;2,"",IF(COUNTIF(F48:H48,"Need")&gt;=2,"Need",IF(COUNTIF(F48:H48,"Want")&gt;=2,"Want",IF(COUNTIF(F48:H48,"Context / unsure")&gt;=2,"Context / unsure","No majority"))))</f>
        <v/>
      </c>
      <c r="J48" s="16" t="n"/>
      <c r="K48" s="16" t="n"/>
      <c r="L48" s="16" t="inlineStr">
        <is>
          <t>Want</t>
        </is>
      </c>
      <c r="M48" s="17">
        <f>IF(COUNTA(F48:H48)&lt;2,"",IF(OR(COUNTIF(F48:H48,"Need")=COUNTA(F48:H48),COUNTIF(F48:H48,"Want")=COUNTA(F48:H48),COUNTIF(F48:H48,"Context / unsure")=COUNTA(F48:H48)),"No","Yes"))</f>
        <v/>
      </c>
      <c r="N48" s="15" t="n"/>
    </row>
    <row r="49" ht="24" customHeight="1">
      <c r="A49" s="14" t="inlineStr">
        <is>
          <t>31</t>
        </is>
      </c>
      <c r="B49" s="15" t="inlineStr">
        <is>
          <t>Weekend trip to Chicago, $180</t>
        </is>
      </c>
      <c r="C49" s="15" t="inlineStr">
        <is>
          <t>Bus and hostel, friends going</t>
        </is>
      </c>
      <c r="D49" s="16" t="inlineStr">
        <is>
          <t>Greyhound</t>
        </is>
      </c>
      <c r="E49" s="16" t="inlineStr">
        <is>
          <t>Travel</t>
        </is>
      </c>
      <c r="F49" s="16" t="n"/>
      <c r="G49" s="16" t="n"/>
      <c r="H49" s="16" t="n"/>
      <c r="I49" s="17">
        <f>IF(COUNTA(F49:H49)&lt;2,"",IF(COUNTIF(F49:H49,"Need")&gt;=2,"Need",IF(COUNTIF(F49:H49,"Want")&gt;=2,"Want",IF(COUNTIF(F49:H49,"Context / unsure")&gt;=2,"Context / unsure","No majority"))))</f>
        <v/>
      </c>
      <c r="J49" s="16" t="n"/>
      <c r="K49" s="16" t="n"/>
      <c r="L49" s="16" t="inlineStr">
        <is>
          <t>Want</t>
        </is>
      </c>
      <c r="M49" s="17">
        <f>IF(COUNTA(F49:H49)&lt;2,"",IF(OR(COUNTIF(F49:H49,"Need")=COUNTA(F49:H49),COUNTIF(F49:H49,"Want")=COUNTA(F49:H49),COUNTIF(F49:H49,"Context / unsure")=COUNTA(F49:H49)),"No","Yes"))</f>
        <v/>
      </c>
      <c r="N49" s="15" t="n"/>
    </row>
    <row r="50" ht="24" customHeight="1">
      <c r="A50" s="14" t="inlineStr">
        <is>
          <t>32</t>
        </is>
      </c>
      <c r="B50" s="15" t="inlineStr">
        <is>
          <t>Bar tab, $48</t>
        </is>
      </c>
      <c r="C50" s="15" t="inlineStr">
        <is>
          <t>Friday night</t>
        </is>
      </c>
      <c r="D50" s="16" t="inlineStr">
        <is>
          <t>Bar</t>
        </is>
      </c>
      <c r="E50" s="16" t="inlineStr">
        <is>
          <t>Restaurants</t>
        </is>
      </c>
      <c r="F50" s="16" t="n"/>
      <c r="G50" s="16" t="n"/>
      <c r="H50" s="16" t="n"/>
      <c r="I50" s="17">
        <f>IF(COUNTA(F50:H50)&lt;2,"",IF(COUNTIF(F50:H50,"Need")&gt;=2,"Need",IF(COUNTIF(F50:H50,"Want")&gt;=2,"Want",IF(COUNTIF(F50:H50,"Context / unsure")&gt;=2,"Context / unsure","No majority"))))</f>
        <v/>
      </c>
      <c r="J50" s="16" t="n"/>
      <c r="K50" s="16" t="n"/>
      <c r="L50" s="16" t="inlineStr">
        <is>
          <t>Want</t>
        </is>
      </c>
      <c r="M50" s="17">
        <f>IF(COUNTA(F50:H50)&lt;2,"",IF(OR(COUNTIF(F50:H50,"Need")=COUNTA(F50:H50),COUNTIF(F50:H50,"Want")=COUNTA(F50:H50),COUNTIF(F50:H50,"Context / unsure")=COUNTA(F50:H50)),"No","Yes"))</f>
        <v/>
      </c>
      <c r="N50" s="15" t="n"/>
    </row>
    <row r="51" ht="24" customHeight="1">
      <c r="A51" s="14" t="inlineStr">
        <is>
          <t>33</t>
        </is>
      </c>
      <c r="B51" s="15" t="inlineStr">
        <is>
          <t>Fast fashion haul, $73</t>
        </is>
      </c>
      <c r="C51" s="15" t="inlineStr">
        <is>
          <t>Nine items</t>
        </is>
      </c>
      <c r="D51" s="16" t="inlineStr">
        <is>
          <t>Shein</t>
        </is>
      </c>
      <c r="E51" s="16" t="inlineStr">
        <is>
          <t>Clothing</t>
        </is>
      </c>
      <c r="F51" s="16" t="n"/>
      <c r="G51" s="16" t="n"/>
      <c r="H51" s="16" t="n"/>
      <c r="I51" s="17">
        <f>IF(COUNTA(F51:H51)&lt;2,"",IF(COUNTIF(F51:H51,"Need")&gt;=2,"Need",IF(COUNTIF(F51:H51,"Want")&gt;=2,"Want",IF(COUNTIF(F51:H51,"Context / unsure")&gt;=2,"Context / unsure","No majority"))))</f>
        <v/>
      </c>
      <c r="J51" s="16" t="n"/>
      <c r="K51" s="16" t="n"/>
      <c r="L51" s="16" t="inlineStr">
        <is>
          <t>Want</t>
        </is>
      </c>
      <c r="M51" s="17">
        <f>IF(COUNTA(F51:H51)&lt;2,"",IF(OR(COUNTIF(F51:H51,"Need")=COUNTA(F51:H51),COUNTIF(F51:H51,"Want")=COUNTA(F51:H51),COUNTIF(F51:H51,"Context / unsure")=COUNTA(F51:H51)),"No","Yes"))</f>
        <v/>
      </c>
      <c r="N51" s="15" t="n"/>
    </row>
    <row r="52" ht="24" customHeight="1">
      <c r="A52" s="14" t="inlineStr">
        <is>
          <t>34</t>
        </is>
      </c>
      <c r="B52" s="15" t="inlineStr">
        <is>
          <t>Gym membership, $25</t>
        </is>
      </c>
      <c r="C52" s="15" t="inlineStr">
        <is>
          <t>Monthly, goes 3x a week</t>
        </is>
      </c>
      <c r="D52" s="16" t="inlineStr">
        <is>
          <t>Planet Fitness</t>
        </is>
      </c>
      <c r="E52" s="16" t="inlineStr">
        <is>
          <t>Health</t>
        </is>
      </c>
      <c r="F52" s="16" t="n"/>
      <c r="G52" s="16" t="n"/>
      <c r="H52" s="16" t="n"/>
      <c r="I52" s="17">
        <f>IF(COUNTA(F52:H52)&lt;2,"",IF(COUNTIF(F52:H52,"Need")&gt;=2,"Need",IF(COUNTIF(F52:H52,"Want")&gt;=2,"Want",IF(COUNTIF(F52:H52,"Context / unsure")&gt;=2,"Context / unsure","No majority"))))</f>
        <v/>
      </c>
      <c r="J52" s="16" t="n"/>
      <c r="K52" s="16" t="n"/>
      <c r="L52" s="16" t="inlineStr">
        <is>
          <t>Need</t>
        </is>
      </c>
      <c r="M52" s="17">
        <f>IF(COUNTA(F52:H52)&lt;2,"",IF(OR(COUNTIF(F52:H52,"Need")=COUNTA(F52:H52),COUNTIF(F52:H52,"Want")=COUNTA(F52:H52),COUNTIF(F52:H52,"Context / unsure")=COUNTA(F52:H52)),"No","Yes"))</f>
        <v/>
      </c>
      <c r="N52" s="15" t="n"/>
    </row>
    <row r="53" ht="24" customHeight="1">
      <c r="A53" s="14" t="inlineStr">
        <is>
          <t>35</t>
        </is>
      </c>
      <c r="B53" s="15" t="inlineStr">
        <is>
          <t>New phone, $799</t>
        </is>
      </c>
      <c r="C53" s="15" t="inlineStr">
        <is>
          <t>Screen cracked, phone still works</t>
        </is>
      </c>
      <c r="D53" s="16" t="inlineStr">
        <is>
          <t>Apple</t>
        </is>
      </c>
      <c r="E53" s="16" t="inlineStr">
        <is>
          <t>Electronics</t>
        </is>
      </c>
      <c r="F53" s="16" t="n"/>
      <c r="G53" s="16" t="n"/>
      <c r="H53" s="16" t="n"/>
      <c r="I53" s="17">
        <f>IF(COUNTA(F53:H53)&lt;2,"",IF(COUNTIF(F53:H53,"Need")&gt;=2,"Need",IF(COUNTIF(F53:H53,"Want")&gt;=2,"Want",IF(COUNTIF(F53:H53,"Context / unsure")&gt;=2,"Context / unsure","No majority"))))</f>
        <v/>
      </c>
      <c r="J53" s="16" t="n"/>
      <c r="K53" s="16" t="n"/>
      <c r="L53" s="16" t="inlineStr">
        <is>
          <t>Want</t>
        </is>
      </c>
      <c r="M53" s="17">
        <f>IF(COUNTA(F53:H53)&lt;2,"",IF(OR(COUNTIF(F53:H53,"Need")=COUNTA(F53:H53),COUNTIF(F53:H53,"Want")=COUNTA(F53:H53),COUNTIF(F53:H53,"Context / unsure")=COUNTA(F53:H53)),"No","Yes"))</f>
        <v/>
      </c>
      <c r="N53" s="15" t="n"/>
    </row>
    <row r="54" ht="24" customHeight="1">
      <c r="A54" s="14" t="inlineStr">
        <is>
          <t>36</t>
        </is>
      </c>
      <c r="B54" s="15" t="inlineStr">
        <is>
          <t>Chipotle, $13</t>
        </is>
      </c>
      <c r="C54" s="15" t="inlineStr">
        <is>
          <t>12 hour day on campus, no food at home</t>
        </is>
      </c>
      <c r="D54" s="16" t="inlineStr">
        <is>
          <t>Chipotle</t>
        </is>
      </c>
      <c r="E54" s="16" t="inlineStr">
        <is>
          <t>Restaurants</t>
        </is>
      </c>
      <c r="F54" s="16" t="n"/>
      <c r="G54" s="16" t="n"/>
      <c r="H54" s="16" t="n"/>
      <c r="I54" s="17">
        <f>IF(COUNTA(F54:H54)&lt;2,"",IF(COUNTIF(F54:H54,"Need")&gt;=2,"Need",IF(COUNTIF(F54:H54,"Want")&gt;=2,"Want",IF(COUNTIF(F54:H54,"Context / unsure")&gt;=2,"Context / unsure","No majority"))))</f>
        <v/>
      </c>
      <c r="J54" s="16" t="n"/>
      <c r="K54" s="16" t="n"/>
      <c r="L54" s="16" t="inlineStr">
        <is>
          <t>Want</t>
        </is>
      </c>
      <c r="M54" s="17">
        <f>IF(COUNTA(F54:H54)&lt;2,"",IF(OR(COUNTIF(F54:H54,"Need")=COUNTA(F54:H54),COUNTIF(F54:H54,"Want")=COUNTA(F54:H54),COUNTIF(F54:H54,"Context / unsure")=COUNTA(F54:H54)),"No","Yes"))</f>
        <v/>
      </c>
      <c r="N54" s="15" t="n"/>
    </row>
    <row r="55" ht="24" customHeight="1">
      <c r="A55" s="14" t="inlineStr">
        <is>
          <t>37</t>
        </is>
      </c>
      <c r="B55" s="15" t="inlineStr">
        <is>
          <t>Uber, 2 miles, $22</t>
        </is>
      </c>
      <c r="C55" s="15" t="inlineStr">
        <is>
          <t>11pm, alone</t>
        </is>
      </c>
      <c r="D55" s="16" t="inlineStr">
        <is>
          <t>Uber</t>
        </is>
      </c>
      <c r="E55" s="16" t="inlineStr">
        <is>
          <t>Transportation</t>
        </is>
      </c>
      <c r="F55" s="16" t="n"/>
      <c r="G55" s="16" t="n"/>
      <c r="H55" s="16" t="n"/>
      <c r="I55" s="17">
        <f>IF(COUNTA(F55:H55)&lt;2,"",IF(COUNTIF(F55:H55,"Need")&gt;=2,"Need",IF(COUNTIF(F55:H55,"Want")&gt;=2,"Want",IF(COUNTIF(F55:H55,"Context / unsure")&gt;=2,"Context / unsure","No majority"))))</f>
        <v/>
      </c>
      <c r="J55" s="16" t="n"/>
      <c r="K55" s="16" t="n"/>
      <c r="L55" s="16" t="inlineStr">
        <is>
          <t>Need</t>
        </is>
      </c>
      <c r="M55" s="17">
        <f>IF(COUNTA(F55:H55)&lt;2,"",IF(OR(COUNTIF(F55:H55,"Need")=COUNTA(F55:H55),COUNTIF(F55:H55,"Want")=COUNTA(F55:H55),COUNTIF(F55:H55,"Context / unsure")=COUNTA(F55:H55)),"No","Yes"))</f>
        <v/>
      </c>
      <c r="N55" s="15" t="n"/>
    </row>
    <row r="56" ht="24" customHeight="1">
      <c r="A56" s="14" t="inlineStr">
        <is>
          <t>38</t>
        </is>
      </c>
      <c r="B56" s="15" t="inlineStr">
        <is>
          <t>Tattoo, $150</t>
        </is>
      </c>
      <c r="C56" s="15" t="inlineStr">
        <is>
          <t>Planned for a year</t>
        </is>
      </c>
      <c r="D56" s="16" t="inlineStr">
        <is>
          <t>Tattoo studio</t>
        </is>
      </c>
      <c r="E56" s="16" t="inlineStr">
        <is>
          <t>Personal Care</t>
        </is>
      </c>
      <c r="F56" s="16" t="n"/>
      <c r="G56" s="16" t="n"/>
      <c r="H56" s="16" t="n"/>
      <c r="I56" s="17">
        <f>IF(COUNTA(F56:H56)&lt;2,"",IF(COUNTIF(F56:H56,"Need")&gt;=2,"Need",IF(COUNTIF(F56:H56,"Want")&gt;=2,"Want",IF(COUNTIF(F56:H56,"Context / unsure")&gt;=2,"Context / unsure","No majority"))))</f>
        <v/>
      </c>
      <c r="J56" s="16" t="n"/>
      <c r="K56" s="16" t="n"/>
      <c r="L56" s="16" t="inlineStr">
        <is>
          <t>Want</t>
        </is>
      </c>
      <c r="M56" s="17">
        <f>IF(COUNTA(F56:H56)&lt;2,"",IF(OR(COUNTIF(F56:H56,"Need")=COUNTA(F56:H56),COUNTIF(F56:H56,"Want")=COUNTA(F56:H56),COUNTIF(F56:H56,"Context / unsure")=COUNTA(F56:H56)),"No","Yes"))</f>
        <v/>
      </c>
      <c r="N56" s="15" t="n"/>
    </row>
    <row r="57" ht="24" customHeight="1">
      <c r="A57" s="14" t="inlineStr">
        <is>
          <t>39</t>
        </is>
      </c>
      <c r="B57" s="15" t="inlineStr">
        <is>
          <t>Birthday gift for mum, $40</t>
        </is>
      </c>
      <c r="C57" s="15" t="inlineStr"/>
      <c r="D57" s="16" t="inlineStr">
        <is>
          <t>Amazon</t>
        </is>
      </c>
      <c r="E57" s="16" t="inlineStr">
        <is>
          <t>Shopping</t>
        </is>
      </c>
      <c r="F57" s="16" t="n"/>
      <c r="G57" s="16" t="n"/>
      <c r="H57" s="16" t="n"/>
      <c r="I57" s="17">
        <f>IF(COUNTA(F57:H57)&lt;2,"",IF(COUNTIF(F57:H57,"Need")&gt;=2,"Need",IF(COUNTIF(F57:H57,"Want")&gt;=2,"Want",IF(COUNTIF(F57:H57,"Context / unsure")&gt;=2,"Context / unsure","No majority"))))</f>
        <v/>
      </c>
      <c r="J57" s="16" t="n"/>
      <c r="K57" s="16" t="n"/>
      <c r="L57" s="16" t="inlineStr">
        <is>
          <t>Want</t>
        </is>
      </c>
      <c r="M57" s="17">
        <f>IF(COUNTA(F57:H57)&lt;2,"",IF(OR(COUNTIF(F57:H57,"Need")=COUNTA(F57:H57),COUNTIF(F57:H57,"Want")=COUNTA(F57:H57),COUNTIF(F57:H57,"Context / unsure")=COUNTA(F57:H57)),"No","Yes"))</f>
        <v/>
      </c>
      <c r="N57" s="15" t="n"/>
    </row>
    <row r="58" ht="24" customHeight="1">
      <c r="A58" s="14" t="inlineStr">
        <is>
          <t>40</t>
        </is>
      </c>
      <c r="B58" s="15" t="inlineStr">
        <is>
          <t>Jollof and chicken, $18</t>
        </is>
      </c>
      <c r="C58" s="15" t="inlineStr">
        <is>
          <t>Missing home, eats out once a month</t>
        </is>
      </c>
      <c r="D58" s="16" t="inlineStr">
        <is>
          <t>Nigerian restaurant</t>
        </is>
      </c>
      <c r="E58" s="16" t="inlineStr">
        <is>
          <t>Restaurants</t>
        </is>
      </c>
      <c r="F58" s="16" t="n"/>
      <c r="G58" s="16" t="n"/>
      <c r="H58" s="16" t="n"/>
      <c r="I58" s="17">
        <f>IF(COUNTA(F58:H58)&lt;2,"",IF(COUNTIF(F58:H58,"Need")&gt;=2,"Need",IF(COUNTIF(F58:H58,"Want")&gt;=2,"Want",IF(COUNTIF(F58:H58,"Context / unsure")&gt;=2,"Context / unsure","No majority"))))</f>
        <v/>
      </c>
      <c r="J58" s="16" t="n"/>
      <c r="K58" s="16" t="n"/>
      <c r="L58" s="16" t="inlineStr">
        <is>
          <t>Want</t>
        </is>
      </c>
      <c r="M58" s="17">
        <f>IF(COUNTA(F58:H58)&lt;2,"",IF(OR(COUNTIF(F58:H58,"Need")=COUNTA(F58:H58),COUNTIF(F58:H58,"Want")=COUNTA(F58:H58),COUNTIF(F58:H58,"Context / unsure")=COUNTA(F58:H58)),"No","Yes"))</f>
        <v/>
      </c>
      <c r="N58" s="15" t="n"/>
    </row>
    <row r="59" ht="24" customHeight="1">
      <c r="A59" s="14" t="inlineStr">
        <is>
          <t>41</t>
        </is>
      </c>
      <c r="B59" s="15" t="inlineStr">
        <is>
          <t>Spotify, $11</t>
        </is>
      </c>
      <c r="C59" s="15" t="inlineStr">
        <is>
          <t>Monthly</t>
        </is>
      </c>
      <c r="D59" s="16" t="inlineStr">
        <is>
          <t>Spotify</t>
        </is>
      </c>
      <c r="E59" s="16" t="inlineStr">
        <is>
          <t>Subscriptions</t>
        </is>
      </c>
      <c r="F59" s="16" t="n"/>
      <c r="G59" s="16" t="n"/>
      <c r="H59" s="16" t="n"/>
      <c r="I59" s="17">
        <f>IF(COUNTA(F59:H59)&lt;2,"",IF(COUNTIF(F59:H59,"Need")&gt;=2,"Need",IF(COUNTIF(F59:H59,"Want")&gt;=2,"Want",IF(COUNTIF(F59:H59,"Context / unsure")&gt;=2,"Context / unsure","No majority"))))</f>
        <v/>
      </c>
      <c r="J59" s="16" t="n"/>
      <c r="K59" s="16" t="n"/>
      <c r="L59" s="16" t="inlineStr">
        <is>
          <t>Want</t>
        </is>
      </c>
      <c r="M59" s="17">
        <f>IF(COUNTA(F59:H59)&lt;2,"",IF(OR(COUNTIF(F59:H59,"Need")=COUNTA(F59:H59),COUNTIF(F59:H59,"Want")=COUNTA(F59:H59),COUNTIF(F59:H59,"Context / unsure")=COUNTA(F59:H59)),"No","Yes"))</f>
        <v/>
      </c>
      <c r="N59" s="15" t="n"/>
    </row>
    <row r="60" ht="24" customHeight="1">
      <c r="A60" s="14" t="inlineStr">
        <is>
          <t>42</t>
        </is>
      </c>
      <c r="B60" s="15" t="inlineStr">
        <is>
          <t>Haircut, $25</t>
        </is>
      </c>
      <c r="C60" s="15" t="inlineStr">
        <is>
          <t>Every two weeks</t>
        </is>
      </c>
      <c r="D60" s="16" t="inlineStr">
        <is>
          <t>Barber</t>
        </is>
      </c>
      <c r="E60" s="16" t="inlineStr">
        <is>
          <t>Personal Care</t>
        </is>
      </c>
      <c r="F60" s="16" t="n"/>
      <c r="G60" s="16" t="n"/>
      <c r="H60" s="16" t="n"/>
      <c r="I60" s="17">
        <f>IF(COUNTA(F60:H60)&lt;2,"",IF(COUNTIF(F60:H60,"Need")&gt;=2,"Need",IF(COUNTIF(F60:H60,"Want")&gt;=2,"Want",IF(COUNTIF(F60:H60,"Context / unsure")&gt;=2,"Context / unsure","No majority"))))</f>
        <v/>
      </c>
      <c r="J60" s="16" t="n"/>
      <c r="K60" s="16" t="n"/>
      <c r="L60" s="16" t="inlineStr">
        <is>
          <t>Want</t>
        </is>
      </c>
      <c r="M60" s="17">
        <f>IF(COUNTA(F60:H60)&lt;2,"",IF(OR(COUNTIF(F60:H60,"Need")=COUNTA(F60:H60),COUNTIF(F60:H60,"Want")=COUNTA(F60:H60),COUNTIF(F60:H60,"Context / unsure")=COUNTA(F60:H60)),"No","Yes"))</f>
        <v/>
      </c>
      <c r="N60" s="15" t="n"/>
    </row>
    <row r="61" ht="24" customHeight="1">
      <c r="A61" s="14" t="inlineStr">
        <is>
          <t>43</t>
        </is>
      </c>
      <c r="B61" s="15" t="inlineStr">
        <is>
          <t>New laptop, $900</t>
        </is>
      </c>
      <c r="C61" s="15" t="inlineStr">
        <is>
          <t>Old one is 6 years old and slow, CS major</t>
        </is>
      </c>
      <c r="D61" s="16" t="inlineStr">
        <is>
          <t>Best Buy</t>
        </is>
      </c>
      <c r="E61" s="16" t="inlineStr">
        <is>
          <t>Electronics</t>
        </is>
      </c>
      <c r="F61" s="16" t="n"/>
      <c r="G61" s="16" t="n"/>
      <c r="H61" s="16" t="n"/>
      <c r="I61" s="17">
        <f>IF(COUNTA(F61:H61)&lt;2,"",IF(COUNTIF(F61:H61,"Need")&gt;=2,"Need",IF(COUNTIF(F61:H61,"Want")&gt;=2,"Want",IF(COUNTIF(F61:H61,"Context / unsure")&gt;=2,"Context / unsure","No majority"))))</f>
        <v/>
      </c>
      <c r="J61" s="16" t="n"/>
      <c r="K61" s="16" t="n"/>
      <c r="L61" s="16" t="inlineStr">
        <is>
          <t>Want</t>
        </is>
      </c>
      <c r="M61" s="17">
        <f>IF(COUNTA(F61:H61)&lt;2,"",IF(OR(COUNTIF(F61:H61,"Need")=COUNTA(F61:H61),COUNTIF(F61:H61,"Want")=COUNTA(F61:H61),COUNTIF(F61:H61,"Context / unsure")=COUNTA(F61:H61)),"No","Yes"))</f>
        <v/>
      </c>
      <c r="N61" s="15" t="n"/>
    </row>
    <row r="62" ht="24" customHeight="1">
      <c r="A62" s="14" t="inlineStr">
        <is>
          <t>44</t>
        </is>
      </c>
      <c r="B62" s="15" t="inlineStr">
        <is>
          <t>Second monitor, $150</t>
        </is>
      </c>
      <c r="C62" s="15" t="inlineStr">
        <is>
          <t>Works from a 13 inch laptop</t>
        </is>
      </c>
      <c r="D62" s="16" t="inlineStr">
        <is>
          <t>Best Buy</t>
        </is>
      </c>
      <c r="E62" s="16" t="inlineStr">
        <is>
          <t>Electronics</t>
        </is>
      </c>
      <c r="F62" s="16" t="n"/>
      <c r="G62" s="16" t="n"/>
      <c r="H62" s="16" t="n"/>
      <c r="I62" s="17">
        <f>IF(COUNTA(F62:H62)&lt;2,"",IF(COUNTIF(F62:H62,"Need")&gt;=2,"Need",IF(COUNTIF(F62:H62,"Want")&gt;=2,"Want",IF(COUNTIF(F62:H62,"Context / unsure")&gt;=2,"Context / unsure","No majority"))))</f>
        <v/>
      </c>
      <c r="J62" s="16" t="n"/>
      <c r="K62" s="16" t="n"/>
      <c r="L62" s="16" t="inlineStr">
        <is>
          <t>Want</t>
        </is>
      </c>
      <c r="M62" s="17">
        <f>IF(COUNTA(F62:H62)&lt;2,"",IF(OR(COUNTIF(F62:H62,"Need")=COUNTA(F62:H62),COUNTIF(F62:H62,"Want")=COUNTA(F62:H62),COUNTIF(F62:H62,"Context / unsure")=COUNTA(F62:H62)),"No","Yes"))</f>
        <v/>
      </c>
      <c r="N62" s="15" t="n"/>
    </row>
    <row r="63" ht="24" customHeight="1">
      <c r="A63" s="14" t="inlineStr">
        <is>
          <t>45</t>
        </is>
      </c>
      <c r="B63" s="15" t="inlineStr">
        <is>
          <t>Flight home for December, $1,100</t>
        </is>
      </c>
      <c r="C63" s="15" t="inlineStr">
        <is>
          <t>First trip home in two years</t>
        </is>
      </c>
      <c r="D63" s="16" t="inlineStr">
        <is>
          <t>Airline</t>
        </is>
      </c>
      <c r="E63" s="16" t="inlineStr">
        <is>
          <t>Travel</t>
        </is>
      </c>
      <c r="F63" s="16" t="n"/>
      <c r="G63" s="16" t="n"/>
      <c r="H63" s="16" t="n"/>
      <c r="I63" s="17">
        <f>IF(COUNTA(F63:H63)&lt;2,"",IF(COUNTIF(F63:H63,"Need")&gt;=2,"Need",IF(COUNTIF(F63:H63,"Want")&gt;=2,"Want",IF(COUNTIF(F63:H63,"Context / unsure")&gt;=2,"Context / unsure","No majority"))))</f>
        <v/>
      </c>
      <c r="J63" s="16" t="n"/>
      <c r="K63" s="16" t="n"/>
      <c r="L63" s="16" t="inlineStr">
        <is>
          <t>Want</t>
        </is>
      </c>
      <c r="M63" s="17">
        <f>IF(COUNTA(F63:H63)&lt;2,"",IF(OR(COUNTIF(F63:H63,"Need")=COUNTA(F63:H63),COUNTIF(F63:H63,"Want")=COUNTA(F63:H63),COUNTIF(F63:H63,"Context / unsure")=COUNTA(F63:H63)),"No","Yes"))</f>
        <v/>
      </c>
      <c r="N63" s="15" t="n"/>
    </row>
    <row r="64" ht="24" customHeight="1">
      <c r="A64" s="14" t="inlineStr">
        <is>
          <t>46</t>
        </is>
      </c>
      <c r="B64" s="15" t="inlineStr">
        <is>
          <t>Church offering, $20</t>
        </is>
      </c>
      <c r="C64" s="15" t="inlineStr">
        <is>
          <t>Weekly</t>
        </is>
      </c>
      <c r="D64" s="16" t="inlineStr">
        <is>
          <t>Church</t>
        </is>
      </c>
      <c r="E64" s="16" t="inlineStr">
        <is>
          <t>Donations</t>
        </is>
      </c>
      <c r="F64" s="16" t="n"/>
      <c r="G64" s="16" t="n"/>
      <c r="H64" s="16" t="n"/>
      <c r="I64" s="17">
        <f>IF(COUNTA(F64:H64)&lt;2,"",IF(COUNTIF(F64:H64,"Need")&gt;=2,"Need",IF(COUNTIF(F64:H64,"Want")&gt;=2,"Want",IF(COUNTIF(F64:H64,"Context / unsure")&gt;=2,"Context / unsure","No majority"))))</f>
        <v/>
      </c>
      <c r="J64" s="16" t="n"/>
      <c r="K64" s="16" t="n"/>
      <c r="L64" s="16" t="inlineStr">
        <is>
          <t>Want</t>
        </is>
      </c>
      <c r="M64" s="17">
        <f>IF(COUNTA(F64:H64)&lt;2,"",IF(OR(COUNTIF(F64:H64,"Need")=COUNTA(F64:H64),COUNTIF(F64:H64,"Want")=COUNTA(F64:H64),COUNTIF(F64:H64,"Context / unsure")=COUNTA(F64:H64)),"No","Yes"))</f>
        <v/>
      </c>
      <c r="N64" s="15" t="n"/>
    </row>
    <row r="65" ht="24" customHeight="1">
      <c r="A65" s="14" t="inlineStr">
        <is>
          <t>47</t>
        </is>
      </c>
      <c r="B65" s="15" t="inlineStr">
        <is>
          <t>Toilet paper and a $40 video game, one receipt, $52</t>
        </is>
      </c>
      <c r="C65" s="15" t="inlineStr">
        <is>
          <t>Same Walmart cart</t>
        </is>
      </c>
      <c r="D65" s="16" t="inlineStr">
        <is>
          <t>Walmart</t>
        </is>
      </c>
      <c r="E65" s="16" t="inlineStr">
        <is>
          <t>General Merchandise</t>
        </is>
      </c>
      <c r="F65" s="16" t="n"/>
      <c r="G65" s="16" t="n"/>
      <c r="H65" s="16" t="n"/>
      <c r="I65" s="17">
        <f>IF(COUNTA(F65:H65)&lt;2,"",IF(COUNTIF(F65:H65,"Need")&gt;=2,"Need",IF(COUNTIF(F65:H65,"Want")&gt;=2,"Want",IF(COUNTIF(F65:H65,"Context / unsure")&gt;=2,"Context / unsure","No majority"))))</f>
        <v/>
      </c>
      <c r="J65" s="16" t="n"/>
      <c r="K65" s="16" t="n"/>
      <c r="L65" s="16" t="inlineStr">
        <is>
          <t>Want</t>
        </is>
      </c>
      <c r="M65" s="17">
        <f>IF(COUNTA(F65:H65)&lt;2,"",IF(OR(COUNTIF(F65:H65,"Need")=COUNTA(F65:H65),COUNTIF(F65:H65,"Want")=COUNTA(F65:H65),COUNTIF(F65:H65,"Context / unsure")=COUNTA(F65:H65)),"No","Yes"))</f>
        <v/>
      </c>
      <c r="N65" s="15" t="n"/>
    </row>
    <row r="66" ht="24" customHeight="1">
      <c r="A66" s="14" t="inlineStr">
        <is>
          <t>48</t>
        </is>
      </c>
      <c r="B66" s="15" t="inlineStr">
        <is>
          <t>Required textbook and LED lights, one order, $114</t>
        </is>
      </c>
      <c r="C66" s="15" t="inlineStr">
        <is>
          <t>Same Amazon order</t>
        </is>
      </c>
      <c r="D66" s="16" t="inlineStr">
        <is>
          <t>Amazon</t>
        </is>
      </c>
      <c r="E66" s="16" t="inlineStr">
        <is>
          <t>Shopping</t>
        </is>
      </c>
      <c r="F66" s="16" t="n"/>
      <c r="G66" s="16" t="n"/>
      <c r="H66" s="16" t="n"/>
      <c r="I66" s="17">
        <f>IF(COUNTA(F66:H66)&lt;2,"",IF(COUNTIF(F66:H66,"Need")&gt;=2,"Need",IF(COUNTIF(F66:H66,"Want")&gt;=2,"Want",IF(COUNTIF(F66:H66,"Context / unsure")&gt;=2,"Context / unsure","No majority"))))</f>
        <v/>
      </c>
      <c r="J66" s="16" t="n"/>
      <c r="K66" s="16" t="n"/>
      <c r="L66" s="16" t="inlineStr">
        <is>
          <t>Want</t>
        </is>
      </c>
      <c r="M66" s="17">
        <f>IF(COUNTA(F66:H66)&lt;2,"",IF(OR(COUNTIF(F66:H66,"Need")=COUNTA(F66:H66),COUNTIF(F66:H66,"Want")=COUNTA(F66:H66),COUNTIF(F66:H66,"Context / unsure")=COUNTA(F66:H66)),"No","Yes"))</f>
        <v/>
      </c>
      <c r="N66" s="15" t="n"/>
    </row>
    <row r="67" ht="24" customHeight="1">
      <c r="A67" s="14" t="inlineStr">
        <is>
          <t>49</t>
        </is>
      </c>
      <c r="B67" s="15" t="inlineStr">
        <is>
          <t>Money sent home to family, $50</t>
        </is>
      </c>
      <c r="C67" s="15" t="inlineStr">
        <is>
          <t>Monthly, parents</t>
        </is>
      </c>
      <c r="D67" s="16" t="inlineStr">
        <is>
          <t>Remitly</t>
        </is>
      </c>
      <c r="E67" s="16" t="inlineStr">
        <is>
          <t>Transfer</t>
        </is>
      </c>
      <c r="F67" s="16" t="n"/>
      <c r="G67" s="16" t="n"/>
      <c r="H67" s="16" t="n"/>
      <c r="I67" s="17">
        <f>IF(COUNTA(F67:H67)&lt;2,"",IF(COUNTIF(F67:H67,"Need")&gt;=2,"Need",IF(COUNTIF(F67:H67,"Want")&gt;=2,"Want",IF(COUNTIF(F67:H67,"Context / unsure")&gt;=2,"Context / unsure","No majority"))))</f>
        <v/>
      </c>
      <c r="J67" s="16" t="n"/>
      <c r="K67" s="16" t="n"/>
      <c r="L67" s="16" t="inlineStr">
        <is>
          <t>Want</t>
        </is>
      </c>
      <c r="M67" s="17">
        <f>IF(COUNTA(F67:H67)&lt;2,"",IF(OR(COUNTIF(F67:H67,"Need")=COUNTA(F67:H67),COUNTIF(F67:H67,"Want")=COUNTA(F67:H67),COUNTIF(F67:H67,"Context / unsure")=COUNTA(F67:H67)),"No","Yes"))</f>
        <v/>
      </c>
      <c r="N67" s="15" t="n"/>
    </row>
    <row r="68" ht="24" customHeight="1">
      <c r="A68" s="14" t="inlineStr">
        <is>
          <t>50</t>
        </is>
      </c>
      <c r="B68" s="15" t="inlineStr">
        <is>
          <t>Sibling school fees, $100</t>
        </is>
      </c>
      <c r="C68" s="15" t="inlineStr">
        <is>
          <t>One time</t>
        </is>
      </c>
      <c r="D68" s="16" t="inlineStr">
        <is>
          <t>Remitly</t>
        </is>
      </c>
      <c r="E68" s="16" t="inlineStr">
        <is>
          <t>Transfer</t>
        </is>
      </c>
      <c r="F68" s="16" t="n"/>
      <c r="G68" s="16" t="n"/>
      <c r="H68" s="16" t="n"/>
      <c r="I68" s="17">
        <f>IF(COUNTA(F68:H68)&lt;2,"",IF(COUNTIF(F68:H68,"Need")&gt;=2,"Need",IF(COUNTIF(F68:H68,"Want")&gt;=2,"Want",IF(COUNTIF(F68:H68,"Context / unsure")&gt;=2,"Context / unsure","No majority"))))</f>
        <v/>
      </c>
      <c r="J68" s="16" t="n"/>
      <c r="K68" s="16" t="n"/>
      <c r="L68" s="16" t="inlineStr">
        <is>
          <t>Want</t>
        </is>
      </c>
      <c r="M68" s="17">
        <f>IF(COUNTA(F68:H68)&lt;2,"",IF(OR(COUNTIF(F68:H68,"Need")=COUNTA(F68:H68),COUNTIF(F68:H68,"Want")=COUNTA(F68:H68),COUNTIF(F68:H68,"Context / unsure")=COUNTA(F68:H68)),"No","Yes"))</f>
        <v/>
      </c>
      <c r="N68" s="15" t="n"/>
    </row>
  </sheetData>
  <autoFilter ref="A18:N68"/>
  <mergeCells count="2">
    <mergeCell ref="A2:N2"/>
    <mergeCell ref="A1:N1"/>
  </mergeCells>
  <conditionalFormatting sqref="K19:K68">
    <cfRule type="cellIs" priority="1" operator="equal" dxfId="0">
      <formula>"Yes"</formula>
    </cfRule>
  </conditionalFormatting>
  <conditionalFormatting sqref="B10">
    <cfRule type="cellIs" priority="2" operator="greaterThan" dxfId="0">
      <formula>0</formula>
    </cfRule>
    <cfRule type="cellIs" priority="3" operator="equal" dxfId="1">
      <formula>0</formula>
    </cfRule>
  </conditionalFormatting>
  <dataValidations count="2">
    <dataValidation sqref="F19:F68 G19:G68 H19:H68 J19:J68 L19:L68" showDropDown="0" showInputMessage="0" showErrorMessage="0" allowBlank="1" type="list">
      <formula1>"Need,Want,Context / unsure"</formula1>
    </dataValidation>
    <dataValidation sqref="K19:K68" showDropDown="0" showInputMessage="0" showErrorMessage="0" allowBlank="1" type="list">
      <formula1>"Yes,No"</formula1>
    </dataValidation>
  </dataValidations>
  <pageMargins left="0.25" right="0.2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2026-10-03T18:14:13Z</dcterms:created>
  <dcterms:modified xmlns:dcterms="http://purl.org/dc/terms/" xmlns:xsi="http://www.w3.org/2001/XMLSchema-instance" xsi:type="dcterms:W3CDTF">2026-10-03T18:19:38Z</dcterms:modified>
</cp:coreProperties>
</file>